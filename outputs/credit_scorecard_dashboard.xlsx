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2ac9423c3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6b9157786d842f3"/>
    <x:sheet xmlns:r="http://schemas.openxmlformats.org/officeDocument/2006/relationships" name="Score_Bands" sheetId="2" r:id="R61b653487aa346ef"/>
    <x:sheet xmlns:r="http://schemas.openxmlformats.org/officeDocument/2006/relationships" name="Cutoff_Table" sheetId="3" r:id="Rd2874a4aac3e4d9a"/>
  </x:sheets>
</x:workbook>
</file>

<file path=xl/sharedStrings.xml><?xml version="1.0" encoding="utf-8"?>
<x:sst xmlns:x="http://schemas.openxmlformats.org/spreadsheetml/2006/main">
  <x:si>
    <x:t xml:space="preserve">HOLDOUT APPLICANTS</x:t>
  </x:si>
  <x:si>
    <x:t xml:space="preserve">OVERALL BAD RATE</x:t>
  </x:si>
  <x:si>
    <x:t xml:space="preserve">GINI</x:t>
  </x:si>
  <x:si>
    <x:t xml:space="preserve">KS STATISTIC</x:t>
  </x:si>
  <x:si>
    <x:t xml:space="preserve">AUC – SCORECARD</x:t>
  </x:si>
  <x:si>
    <x:t xml:space="preserve">AUC – RANDOM FOREST</x:t>
  </x:si>
  <x:si>
    <x:t xml:space="preserve">Applicants scored</x:t>
  </x:si>
  <x:si>
    <x:t xml:space="preserve">Defaults / applicants</x:t>
  </x:si>
  <x:si>
    <x:t xml:space="preserve">Scorecard, holdout</x:t>
  </x:si>
  <x:si>
    <x:t xml:space="preserve">Logistic on WoE bins</x:t>
  </x:si>
  <x:si>
    <x:t xml:space="preserve">Untuned benchmark</x:t>
  </x:si>
  <x:si>
    <x:t xml:space="preserve">KEY TAKEAWAYS</x:t>
  </x:si>
  <x:si>
    <x:t xml:space="preserve">Band</x:t>
  </x:si>
  <x:si>
    <x:t xml:space="preserve">Interval (as exported)</x:t>
  </x:si>
  <x:si>
    <x:t xml:space="preserve">Applicants</x:t>
  </x:si>
  <x:si>
    <x:t xml:space="preserve">Defaults</x:t>
  </x:si>
  <x:si>
    <x:t xml:space="preserve">Bad rate</x:t>
  </x:si>
  <x:si>
    <x:t xml:space="preserve">Avg score</x:t>
  </x:si>
  <x:si>
    <x:t xml:space="preserve">Share of all defaults</x:t>
  </x:si>
  <x:si>
    <x:t xml:space="preserve">Cumulative share of defaults</x:t>
  </x:si>
  <x:si>
    <x:t xml:space="preserve">411–540</x:t>
  </x:si>
  <x:si>
    <x:t xml:space="preserve">(411.27000000000004, 539.859]</x:t>
  </x:si>
  <x:si>
    <x:t xml:space="preserve">540–557</x:t>
  </x:si>
  <x:si>
    <x:t xml:space="preserve">(539.859, 557.464]</x:t>
  </x:si>
  <x:si>
    <x:t xml:space="preserve">557–571</x:t>
  </x:si>
  <x:si>
    <x:t xml:space="preserve">(557.464, 571.165]</x:t>
  </x:si>
  <x:si>
    <x:t xml:space="preserve">571–582</x:t>
  </x:si>
  <x:si>
    <x:t xml:space="preserve">(571.165, 582.402]</x:t>
  </x:si>
  <x:si>
    <x:t xml:space="preserve">582–592</x:t>
  </x:si>
  <x:si>
    <x:t xml:space="preserve">(582.402, 592.281]</x:t>
  </x:si>
  <x:si>
    <x:t xml:space="preserve">592–599</x:t>
  </x:si>
  <x:si>
    <x:t xml:space="preserve">(592.281, 599.211]</x:t>
  </x:si>
  <x:si>
    <x:t xml:space="preserve">599–604</x:t>
  </x:si>
  <x:si>
    <x:t xml:space="preserve">(599.211, 604.166]</x:t>
  </x:si>
  <x:si>
    <x:t xml:space="preserve">604–610</x:t>
  </x:si>
  <x:si>
    <x:t xml:space="preserve">(604.166, 609.833]</x:t>
  </x:si>
  <x:si>
    <x:t xml:space="preserve">610–618</x:t>
  </x:si>
  <x:si>
    <x:t xml:space="preserve">(609.833, 618.081]</x:t>
  </x:si>
  <x:si>
    <x:t xml:space="preserve">618–628</x:t>
  </x:si>
  <x:si>
    <x:t xml:space="preserve">(618.081, 627.877]</x:t>
  </x:si>
  <x:si>
    <x:t xml:space="preserve">Total</x:t>
  </x:si>
  <x:si>
    <x:t xml:space="preserve">Source: score_bands.csv exported from the notebook (30% stratified holdout, Give Me Some Credit). Blue = values copied from the export; black = formulas. Band labels are the exported intervals rounded to whole points.</x:t>
  </x:si>
  <x:si>
    <x:t xml:space="preserve">Cutoff score</x:t>
  </x:si>
  <x:si>
    <x:t xml:space="preserve">Approval rate</x:t>
  </x:si>
  <x:si>
    <x:t xml:space="preserve">Bad rate among approved</x:t>
  </x:si>
</x:sst>
</file>

<file path=xl/styles.xml><?xml version="1.0" encoding="utf-8"?>
<x:styleSheet xmlns:x="http://schemas.openxmlformats.org/spreadsheetml/2006/main">
  <x:numFmts count="8">
    <x:numFmt numFmtId="164" formatCode="General"/>
    <x:numFmt numFmtId="165" formatCode="#,##0"/>
    <x:numFmt numFmtId="166" formatCode="0.00%"/>
    <x:numFmt numFmtId="167" formatCode="0.000"/>
    <x:numFmt numFmtId="168" formatCode="0.0%"/>
    <x:numFmt numFmtId="169" formatCode="0%"/>
    <x:numFmt numFmtId="170" formatCode="0.0"/>
    <x:numFmt numFmtId="171" formatCode="0"/>
  </x:numFmts>
  <x:fonts count="21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20"/>
      <x:color rgb="FF1F3864"/>
      <x:name val="Arial"/>
    </x:font>
    <x:font>
      <x:sz val="10"/>
      <x:color rgb="FF595959"/>
      <x:name val="Arial"/>
    </x:font>
    <x:font>
      <x:b/>
      <x:sz val="8"/>
      <x:color rgb="FF595959"/>
      <x:name val="Arial"/>
    </x:font>
    <x:font>
      <x:b/>
      <x:sz val="22"/>
      <x:color rgb="FF1F3864"/>
      <x:name val="Arial"/>
    </x:font>
    <x:font>
      <x:b/>
      <x:sz val="22"/>
      <x:color rgb="FF0000FF"/>
      <x:name val="Arial"/>
    </x:font>
    <x:font>
      <x:sz val="8"/>
      <x:color rgb="FF595959"/>
      <x:name val="Arial"/>
    </x:font>
    <x:font>
      <x:b/>
      <x:sz val="11"/>
      <x:color rgb="FF1F3864"/>
      <x:name val="Arial"/>
    </x:font>
    <x:font>
      <x:sz val="10"/>
      <x:name val="Arial"/>
    </x:font>
    <x:font>
      <x:i/>
      <x:sz val="8"/>
      <x:color rgb="FF595959"/>
      <x:name val="Arial"/>
    </x:font>
    <x:font>
      <x:b/>
      <x:sz val="18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rgb="FFFFFFFF"/>
      <x:name val="Arial"/>
    </x:font>
    <x:font>
      <x:sz val="11"/>
      <x:color rgb="FF000000"/>
      <x:name val="Arial"/>
    </x:font>
    <x:font>
      <x:sz val="11"/>
      <x:color rgb="FF0000FF"/>
      <x:name val="Arial"/>
    </x:font>
    <x:font>
      <x:b/>
      <x:sz val="11"/>
      <x:color rgb="FF000000"/>
      <x:name val="Arial"/>
    </x:font>
    <x:font>
      <x:i/>
      <x:sz val="9"/>
      <x:color rgb="FF59595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1F3864"/>
      </x:patternFill>
    </x:fill>
  </x:fills>
  <x:borders count="3">
    <x:border diagonalUp="0" diagonalDown="0">
      <x:left/>
      <x:right/>
      <x:top/>
      <x:bottom/>
      <x:diagonal/>
    </x:border>
    <x:border diagonalUp="0" diagonalDown="0">
      <x:left/>
      <x:right/>
      <x:top style="medium">
        <x:color rgb="FF2E75B6"/>
      </x:top>
      <x:bottom/>
      <x:diagonal/>
    </x:border>
    <x:border diagonalUp="0" diagonalDown="0">
      <x:left/>
      <x:right/>
      <x:top/>
      <x:bottom style="thin">
        <x:color rgb="FFBFBFBF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2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1" applyAlignment="1" applyProtection="0">
      <x:alignment horizontal="general" vertical="center" wrapText="0" shrinkToFit="0"/>
      <x:protection locked="1" hidden="0"/>
    </x:xf>
    <x:xf numFmtId="164" fontId="5" fillId="0" borderId="0" xfId="0" applyFont="1" applyBorder="1" applyAlignment="0" applyProtection="0">
      <x:alignment horizontal="general" vertical="bottom" wrapText="0" shrinkToFit="0"/>
      <x:protection locked="1" hidden="0"/>
    </x:xf>
    <x:xf numFmtId="164" fontId="6" fillId="2" borderId="1" xfId="0" applyFont="1" applyBorder="1" applyAlignment="1" applyProtection="0">
      <x:alignment horizontal="center" vertical="center" wrapText="0" shrinkToFit="0"/>
      <x:protection locked="1" hidden="0"/>
    </x:xf>
    <x:xf numFmtId="165" fontId="7" fillId="2" borderId="0" xfId="0" applyFont="1" applyBorder="1" applyAlignment="1" applyProtection="0">
      <x:alignment horizontal="center" vertical="center" wrapText="0" shrinkToFit="0"/>
      <x:protection locked="1" hidden="0"/>
    </x:xf>
    <x:xf numFmtId="166" fontId="7" fillId="2" borderId="0" xfId="0" applyFont="1" applyBorder="1" applyAlignment="1" applyProtection="0">
      <x:alignment horizontal="center" vertical="center" wrapText="0" shrinkToFit="0"/>
      <x:protection locked="1" hidden="0"/>
    </x:xf>
    <x:xf numFmtId="167" fontId="8" fillId="2" borderId="0" xfId="0" applyFont="1" applyBorder="1" applyAlignment="1" applyProtection="0">
      <x:alignment horizontal="center" vertical="center" wrapText="0" shrinkToFit="0"/>
      <x:protection locked="1" hidden="0"/>
    </x:xf>
    <x:xf numFmtId="164" fontId="9" fillId="2" borderId="0" xfId="0" applyFont="1" applyBorder="1" applyAlignment="1" applyProtection="0">
      <x:alignment horizontal="center" vertical="center" wrapText="0" shrinkToFit="0"/>
      <x:protection locked="1" hidden="0"/>
    </x:xf>
    <x:xf numFmtId="164" fontId="10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11" fillId="0" borderId="0" xfId="0" applyFont="1" applyBorder="1" applyAlignment="1" applyProtection="0">
      <x:alignment horizontal="general" vertical="center" wrapText="1" shrinkToFit="0"/>
      <x:protection locked="1" hidden="0"/>
    </x:xf>
    <x:xf numFmtId="164" fontId="12" fillId="0" borderId="0" xfId="0" applyFont="1" applyBorder="1" applyAlignment="1" applyProtection="0">
      <x:alignment horizontal="general" vertical="top" wrapText="1" shrinkToFit="0"/>
      <x:protection locked="1" hidden="0"/>
    </x:xf>
    <x:xf numFmtId="164" fontId="16" fillId="3" borderId="0" xfId="0" applyFont="1" applyBorder="0" applyAlignment="1" applyProtection="0">
      <x:alignment horizontal="center" vertical="center" wrapText="1" shrinkToFit="0"/>
      <x:protection locked="1" hidden="0"/>
    </x:xf>
    <x:xf numFmtId="164" fontId="17" fillId="0" borderId="2" xfId="0" applyFont="1" applyBorder="1" applyAlignment="1" applyProtection="0">
      <x:alignment horizontal="center" vertical="bottom" wrapText="0" shrinkToFit="0"/>
      <x:protection locked="1" hidden="0"/>
    </x:xf>
    <x:xf numFmtId="164" fontId="17" fillId="0" borderId="2" xfId="0" applyFont="1" applyBorder="1" applyAlignment="0" applyProtection="0">
      <x:alignment horizontal="general" vertical="bottom" wrapText="0" shrinkToFit="0"/>
      <x:protection locked="1" hidden="0"/>
    </x:xf>
    <x:xf numFmtId="165" fontId="18" fillId="0" borderId="2" xfId="0" applyFont="1" applyBorder="1" applyAlignment="0" applyProtection="0">
      <x:alignment horizontal="general" vertical="bottom" wrapText="0" shrinkToFit="0"/>
      <x:protection locked="1" hidden="0"/>
    </x:xf>
    <x:xf numFmtId="166" fontId="17" fillId="0" borderId="2" xfId="0" applyFont="1" applyBorder="1" applyAlignment="0" applyProtection="0">
      <x:alignment horizontal="general" vertical="bottom" wrapText="0" shrinkToFit="0"/>
      <x:protection locked="1" hidden="0"/>
    </x:xf>
    <x:xf numFmtId="170" fontId="18" fillId="0" borderId="2" xfId="0" applyFont="1" applyBorder="1" applyAlignment="0" applyProtection="0">
      <x:alignment horizontal="general" vertical="bottom" wrapText="0" shrinkToFit="0"/>
      <x:protection locked="1" hidden="0"/>
    </x:xf>
    <x:xf numFmtId="164" fontId="19" fillId="0" borderId="2" xfId="0" applyFont="1" applyBorder="1" applyAlignment="1" applyProtection="0">
      <x:alignment horizontal="center" vertical="bottom" wrapText="0" shrinkToFit="0"/>
      <x:protection locked="1" hidden="0"/>
    </x:xf>
    <x:xf numFmtId="164" fontId="19" fillId="0" borderId="2" xfId="0" applyFont="1" applyBorder="1" applyAlignment="0" applyProtection="0">
      <x:alignment horizontal="general" vertical="bottom" wrapText="0" shrinkToFit="0"/>
      <x:protection locked="1" hidden="0"/>
    </x:xf>
    <x:xf numFmtId="165" fontId="19" fillId="0" borderId="2" xfId="0" applyFont="1" applyBorder="1" applyAlignment="0" applyProtection="0">
      <x:alignment horizontal="general" vertical="bottom" wrapText="0" shrinkToFit="0"/>
      <x:protection locked="1" hidden="0"/>
    </x:xf>
    <x:xf numFmtId="166" fontId="19" fillId="0" borderId="2" xfId="0" applyFont="1" applyBorder="1" applyAlignment="0" applyProtection="0">
      <x:alignment horizontal="general" vertical="bottom" wrapText="0" shrinkToFit="0"/>
      <x:protection locked="1" hidden="0"/>
    </x:xf>
    <x:xf numFmtId="170" fontId="19" fillId="0" borderId="2" xfId="0" applyFont="1" applyBorder="1" applyAlignment="0" applyProtection="0">
      <x:alignment horizontal="general" vertical="bottom" wrapText="0" shrinkToFit="0"/>
      <x:protection locked="1" hidden="0"/>
    </x:xf>
    <x:xf numFmtId="164" fontId="20" fillId="0" borderId="0" xfId="0" applyFont="1" applyBorder="0" applyAlignment="0" applyProtection="0">
      <x:alignment horizontal="general" vertical="bottom" wrapText="0" shrinkToFit="0"/>
      <x:protection locked="1" hidden="0"/>
    </x:xf>
    <x:xf numFmtId="169" fontId="18" fillId="0" borderId="2" xfId="0" applyFont="1" applyBorder="1" applyAlignment="1" applyProtection="0">
      <x:alignment horizontal="center" vertical="bottom" wrapText="0" shrinkToFit="0"/>
      <x:protection locked="1" hidden="0"/>
    </x:xf>
    <x:xf numFmtId="171" fontId="18" fillId="0" borderId="2" xfId="0" applyFont="1" applyBorder="1" applyAlignment="1" applyProtection="0">
      <x:alignment horizontal="center" vertical="bottom" wrapText="0" shrinkToFit="0"/>
      <x:protection locked="1" hidden="0"/>
    </x:xf>
    <x:xf numFmtId="168" fontId="18" fillId="0" borderId="2" xfId="0" applyFont="1" applyBorder="1" applyAlignment="1" applyProtection="0">
      <x:alignment horizontal="center" vertical="bottom" wrapText="0" shrinkToFit="0"/>
      <x:protection locked="1" hidden="0"/>
    </x:xf>
    <x:xf numFmtId="166" fontId="18" fillId="0" borderId="2" xfId="0" applyFont="1" applyBorder="1" applyAlignment="1" applyProtection="0">
      <x:alignment horizontal="center" vertical="bottom" wrapText="0" shrinkToFit="0"/>
      <x:protection locked="1" hidden="0"/>
    </x:xf>
    <x:xf numFmtId="164" fontId="12" fillId="0" borderId="0" xfId="0" applyNumberFormat="1" applyFont="1" applyFill="1" applyBorder="1" applyAlignment="1">
      <x:alignment horizontal="general" vertical="top" wrapText="1"/>
    </x:xf>
    <x:xf numFmtId="164" fontId="2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20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78787"/>
      <x:rgbColor rgb="FF9999FF"/>
      <x:rgbColor rgb="FF993366"/>
      <x:rgbColor rgb="FFF2F2F2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9f793af064ddd" /><Relationship Type="http://schemas.openxmlformats.org/officeDocument/2006/relationships/theme" Target="/xl/theme/theme1.xml" Id="R85cffae07d2944e1" /><Relationship Type="http://schemas.openxmlformats.org/officeDocument/2006/relationships/sharedStrings" Target="/xl/sharedStrings.xml" Id="R3512a263e4b84617" /><Relationship Type="http://schemas.openxmlformats.org/officeDocument/2006/relationships/worksheet" Target="/xl/worksheets/sheet1.xml" Id="R06b9157786d842f3" /><Relationship Type="http://schemas.openxmlformats.org/officeDocument/2006/relationships/worksheet" Target="/xl/worksheets/sheet2.xml" Id="R61b653487aa346ef" /><Relationship Type="http://schemas.openxmlformats.org/officeDocument/2006/relationships/worksheet" Target="/xl/worksheets/sheet3.xml" Id="Rd2874a4aac3e4d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75ab8933684a06" /><Relationship Type="http://schemas.openxmlformats.org/officeDocument/2006/relationships/chart" Target="/xl/drawings/charts/chart2.xml" Id="R116e9bb4ee434d7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Bad rate by score band (holdout)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strike="noStrike" spc="-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Score_Bands!E1</c:f>
              <c:strCache>
                <c:ptCount val="1"/>
                <c:pt idx="0">
                  <c:v>Bad rate</c:v>
                </c:pt>
              </c:strCache>
            </c:strRef>
          </c:tx>
          <c:spPr>
            <a:solidFill xmlns:a="http://schemas.openxmlformats.org/drawingml/2006/main">
              <a:srgbClr val="1F3864"/>
            </a:solidFill>
            <a:ln xmlns:a="http://schemas.openxmlformats.org/drawingml/2006/main" w="0">
              <a:solidFill>
                <a:srgbClr val="1F3864"/>
              </a:solidFill>
            </a:ln>
          </c:spPr>
          <c:invertIfNegative val="0"/>
          <c:dLbls>
            <c:numFmt formatCode="0.0%" sourceLinked="1"/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1"/>
          </c:dLbls>
          <c:cat>
            <c:strRef>
              <c:f>Score_Bands!$A$2:$A$11</c:f>
              <c:strCache>
                <c:ptCount val="10"/>
                <c:pt idx="0">
                  <c:v>411–540</c:v>
                </c:pt>
                <c:pt idx="1">
                  <c:v>540–557</c:v>
                </c:pt>
                <c:pt idx="2">
                  <c:v>557–571</c:v>
                </c:pt>
                <c:pt idx="3">
                  <c:v>571–582</c:v>
                </c:pt>
                <c:pt idx="4">
                  <c:v>582–592</c:v>
                </c:pt>
                <c:pt idx="5">
                  <c:v>592–599</c:v>
                </c:pt>
                <c:pt idx="6">
                  <c:v>599–604</c:v>
                </c:pt>
                <c:pt idx="7">
                  <c:v>604–610</c:v>
                </c:pt>
                <c:pt idx="8">
                  <c:v>610–618</c:v>
                </c:pt>
                <c:pt idx="9">
                  <c:v>618–628</c:v>
                </c:pt>
              </c:strCache>
            </c:strRef>
          </c:cat>
          <c:val>
            <c:numRef>
              <c:f>Score_Bands!$E$2:$E$11</c:f>
              <c:numCache>
                <c:formatCode>0.00%</c:formatCode>
                <c:ptCount val="10"/>
                <c:pt idx="0">
                  <c:v>0.349542153457531</c:v>
                </c:pt>
                <c:pt idx="1">
                  <c:v>0.110613810741688</c:v>
                </c:pt>
                <c:pt idx="2">
                  <c:v>0.0781151170145478</c:v>
                </c:pt>
                <c:pt idx="3">
                  <c:v>0.0454689984101749</c:v>
                </c:pt>
                <c:pt idx="4">
                  <c:v>0.021405750798722</c:v>
                </c:pt>
                <c:pt idx="5">
                  <c:v>0.0188077781319732</c:v>
                </c:pt>
                <c:pt idx="6">
                  <c:v>0.0126422250316056</c:v>
                </c:pt>
                <c:pt idx="7">
                  <c:v>0.00946073793755913</c:v>
                </c:pt>
                <c:pt idx="8">
                  <c:v>0.00769724182168056</c:v>
                </c:pt>
                <c:pt idx="9">
                  <c:v>0.00705128205128205</c:v>
                </c:pt>
              </c:numCache>
            </c:numRef>
          </c:val>
        </c:ser>
        <c:gapWidth val="50"/>
        <c:overlap val="0"/>
        <c:axId val="14682408"/>
        <c:axId val="56052107"/>
      </c:barChart>
      <c:catAx>
        <c:axId val="14682408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Score band (lowest to highest)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strike="noStrike" spc="-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56052107"/>
        <c:crosses val="autoZero"/>
        <c:lblAlgn val="ctr"/>
        <c:noMultiLvlLbl val="0"/>
        <c:lblOffset val="100"/>
      </c:catAx>
      <c:valAx>
        <c:axId val="56052107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Bad rate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strike="noStrike" spc="-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%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4682408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Historical cutoff tradeoff (requested quantiles)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strike="noStrike" spc="-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Cutoff_Table!C1</c:f>
              <c:strCache>
                <c:ptCount val="1"/>
                <c:pt idx="0">
                  <c:v>Approval rate</c:v>
                </c:pt>
              </c:strCache>
            </c:strRef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8440">
              <a:solidFill>
                <a:srgbClr val="2E75B6"/>
              </a:solidFill>
            </a:ln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 </c:separator>
            <c:showLeaderLines val="1"/>
          </c:dLbls>
          <c:cat>
            <c:strRef>
              <c:f>Cutoff_Table!$A$2:$A$12</c:f>
              <c:strCache>
                <c:ptCount val="11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  <c:pt idx="7">
                  <c:v>35%</c:v>
                </c:pt>
                <c:pt idx="8">
                  <c:v>40%</c:v>
                </c:pt>
                <c:pt idx="9">
                  <c:v>45%</c:v>
                </c:pt>
                <c:pt idx="10">
                  <c:v>50%</c:v>
                </c:pt>
              </c:strCache>
            </c:strRef>
          </c:cat>
          <c:val>
            <c:numRef>
              <c:f>Cutoff_Table!$C$2:$C$12</c:f>
              <c:numCache>
                <c:formatCode>0.0%</c:formatCode>
                <c:ptCount val="11"/>
                <c:pt idx="0">
                  <c:v>1</c:v>
                </c:pt>
                <c:pt idx="1">
                  <c:v>0.949971375866675</c:v>
                </c:pt>
                <c:pt idx="2">
                  <c:v>0.90204185484384</c:v>
                </c:pt>
                <c:pt idx="3">
                  <c:v>0.851408943451434</c:v>
                </c:pt>
                <c:pt idx="4">
                  <c:v>0.800362572355448</c:v>
                </c:pt>
                <c:pt idx="5">
                  <c:v>0.751288085999618</c:v>
                </c:pt>
                <c:pt idx="6">
                  <c:v>0.701545703199542</c:v>
                </c:pt>
                <c:pt idx="7">
                  <c:v>0.650085872399975</c:v>
                </c:pt>
                <c:pt idx="8">
                  <c:v>0.600343489599898</c:v>
                </c:pt>
                <c:pt idx="9">
                  <c:v>0.550410279244323</c:v>
                </c:pt>
                <c:pt idx="10">
                  <c:v>0.500890528592329</c:v>
                </c:pt>
              </c:numCache>
            </c:numRef>
          </c:val>
          <c:smooth val="0"/>
        </c:ser>
        <c:axId val="75512244"/>
        <c:axId val="59020070"/>
      </c:lineChart>
      <c:lineChart>
        <c:grouping val="standard"/>
        <c:varyColors val="0"/>
        <c:ser>
          <c:idx val="1"/>
          <c:order val="1"/>
          <c:tx>
            <c:strRef>
              <c:f>Cutoff_Table!D1</c:f>
              <c:strCache>
                <c:ptCount val="1"/>
                <c:pt idx="0">
                  <c:v>Bad rate among approved</c:v>
                </c:pt>
              </c:strCache>
            </c:strRef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28440">
              <a:solidFill>
                <a:srgbClr val="C00000"/>
              </a:solidFill>
            </a:ln>
          </c:spPr>
          <c:marker>
            <c:symbol val="diamond"/>
            <c:size val="7"/>
            <c:spPr>
              <a:solidFill xmlns:a="http://schemas.openxmlformats.org/drawingml/2006/main">
                <a:srgbClr val="C00000"/>
              </a:solidFill>
            </c:spPr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 </c:separator>
            <c:showLeaderLines val="1"/>
          </c:dLbls>
          <c:cat>
            <c:strRef>
              <c:f>Cutoff_Table!$A$2:$A$12</c:f>
              <c:strCache>
                <c:ptCount val="11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  <c:pt idx="7">
                  <c:v>35%</c:v>
                </c:pt>
                <c:pt idx="8">
                  <c:v>40%</c:v>
                </c:pt>
                <c:pt idx="9">
                  <c:v>45%</c:v>
                </c:pt>
                <c:pt idx="10">
                  <c:v>50%</c:v>
                </c:pt>
              </c:strCache>
            </c:strRef>
          </c:cat>
          <c:val>
            <c:numRef>
              <c:f>Cutoff_Table!$D$2:$D$12</c:f>
              <c:numCache>
                <c:formatCode>0.00%</c:formatCode>
                <c:ptCount val="11"/>
                <c:pt idx="0">
                  <c:v>0.0663125755359073</c:v>
                </c:pt>
                <c:pt idx="1">
                  <c:v>0.0448960460678295</c:v>
                </c:pt>
                <c:pt idx="2">
                  <c:v>0.0348353430646639</c:v>
                </c:pt>
                <c:pt idx="3">
                  <c:v>0.0292491595069107</c:v>
                </c:pt>
                <c:pt idx="4">
                  <c:v>0.0253129346314325</c:v>
                </c:pt>
                <c:pt idx="5">
                  <c:v>0.0206587079840826</c:v>
                </c:pt>
                <c:pt idx="6">
                  <c:v>0.0175899900262943</c:v>
                </c:pt>
                <c:pt idx="7">
                  <c:v>0.0148727984344422</c:v>
                </c:pt>
                <c:pt idx="8">
                  <c:v>0.0128205128205128</c:v>
                </c:pt>
                <c:pt idx="9">
                  <c:v>0.0117300358257251</c:v>
                </c:pt>
                <c:pt idx="10">
                  <c:v>0.0111118166232776</c:v>
                </c:pt>
              </c:numCache>
            </c:numRef>
          </c:val>
          <c:smooth val="0"/>
        </c:ser>
        <c:axId val="47882799"/>
        <c:axId val="46819895"/>
      </c:lineChart>
      <c:catAx>
        <c:axId val="75512244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59020070"/>
        <c:crosses val="autoZero"/>
        <c:lblAlgn val="ctr"/>
        <c:noMultiLvlLbl val="0"/>
        <c:lblOffset val="100"/>
      </c:catAx>
      <c:valAx>
        <c:axId val="59020070"/>
        <c:scaling>
          <c:orientation val="minMax"/>
          <c:max val="1"/>
          <c:min val="0.4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Approval rate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strike="noStrike" spc="-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%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75512244"/>
        <c:crosses val="autoZero"/>
        <c:crossBetween val="between"/>
      </c:valAx>
      <c:catAx>
        <c:axId val="47882799"/>
        <c:scaling>
          <c:orientation val="minMax"/>
        </c:scaling>
        <c:delete val="0"/>
        <c:axPos val="t"/>
        <c:numFmt formatCode="0%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6819895"/>
        <c:crosses val="autoZero"/>
        <c:lblAlgn val="ctr"/>
        <c:noMultiLvlLbl val="0"/>
        <c:lblOffset val="100"/>
      </c:catAx>
      <c:valAx>
        <c:axId val="46819895"/>
        <c:scaling>
          <c:orientation val="minMax"/>
          <c:max val="0.08"/>
          <c:min val="0"/>
        </c:scaling>
        <c:delete val="0"/>
        <c:axPos val="r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Bad rate among approved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strike="noStrike" spc="-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%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7882799"/>
        <c:crosses val="max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b"/>
      <c:overlay val="0"/>
      <c:spPr>
        <a:noFill xmlns:a="http://schemas.openxmlformats.org/drawingml/2006/main"/>
        <a:ln xmlns:a="http://schemas.openxmlformats.org/drawingml/2006/main" w="0">
          <a:noFill/>
        </a:ln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9</xdr:row>
      <xdr:rowOff>0</xdr:rowOff>
    </xdr:from>
    <xdr:to>
      <xdr:col>6</xdr:col>
      <xdr:colOff>818280</xdr:colOff>
      <xdr:row>25</xdr:row>
      <xdr:rowOff>119520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75ab8933684a06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12</xdr:col>
      <xdr:colOff>817920</xdr:colOff>
      <xdr:row>25</xdr:row>
      <xdr:rowOff>119520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6e9bb4ee434d7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0296dbd9a445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" hidden="0" customWidth="1"/>
    <x:col min="2" max="13" width="13" hidden="0" customWidth="1"/>
    <x:col min="14" max="14" width="2" hidden="0" customWidth="1"/>
  </x:cols>
  <x:sheetData>
    <x:row r="2" ht="30" hidden="0" customHeight="1">
      <x:c r="B2" s="1" t="str">
        <x:v>Credit Scorecard — Historical Holdout Results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5" hidden="0">
      <x:c r="B3" s="2" t="str">
        <x:v>Original 70/30 random split | Saved notebook results; not rerun | Higher score = lower risk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5" ht="18" hidden="0" customHeight="1">
      <x:c r="B5" s="3" t="s">
        <x:v>0</x:v>
      </x:c>
      <x:c r="C5" s="3"/>
      <x:c r="D5" s="3" t="s">
        <x:v>1</x:v>
      </x:c>
      <x:c r="E5" s="3"/>
      <x:c r="F5" s="3" t="s">
        <x:v>2</x:v>
      </x:c>
      <x:c r="G5" s="3"/>
      <x:c r="H5" s="3" t="s">
        <x:v>3</x:v>
      </x:c>
      <x:c r="I5" s="3"/>
      <x:c r="J5" s="3" t="s">
        <x:v>4</x:v>
      </x:c>
      <x:c r="K5" s="3"/>
      <x:c r="L5" s="3" t="s">
        <x:v>5</x:v>
      </x:c>
      <x:c r="M5" s="3"/>
    </x:row>
    <x:row r="6" ht="19.5" hidden="0" customHeight="1">
      <x:c r="B6" s="4" t="n">
        <x:f aca="0">Score_Bands!C12</x:f>
        <x:v>31442</x:v>
      </x:c>
      <x:c r="C6" s="4"/>
      <x:c r="D6" s="5" t="n">
        <x:f aca="0">Score_Bands!E12</x:f>
        <x:v>0.06631257553590739</x:v>
      </x:c>
      <x:c r="E6" s="5"/>
      <x:c r="F6" s="6" t="n">
        <x:v>0.707</x:v>
      </x:c>
      <x:c r="G6" s="6"/>
      <x:c r="H6" s="6" t="n">
        <x:v>0.557</x:v>
      </x:c>
      <x:c r="I6" s="6"/>
      <x:c r="J6" s="6" t="n">
        <x:v>0.853</x:v>
      </x:c>
      <x:c r="K6" s="6"/>
      <x:c r="L6" s="6" t="n">
        <x:v>0.866</x:v>
      </x:c>
      <x:c r="M6" s="6"/>
    </x:row>
    <x:row r="7" ht="19.5" hidden="0" customHeight="1">
      <x:c r="B7" s="4"/>
      <x:c r="C7" s="4"/>
      <x:c r="D7" s="5"/>
      <x:c r="E7" s="5"/>
      <x:c r="F7" s="6"/>
      <x:c r="G7" s="6"/>
      <x:c r="H7" s="6"/>
      <x:c r="I7" s="6"/>
      <x:c r="J7" s="6"/>
      <x:c r="K7" s="6"/>
      <x:c r="L7" s="6"/>
      <x:c r="M7" s="6"/>
    </x:row>
    <x:row r="8" ht="15.75" hidden="0" customHeight="1">
      <x:c r="B8" s="7" t="s">
        <x:v>6</x:v>
      </x:c>
      <x:c r="C8" s="7"/>
      <x:c r="D8" s="7" t="s">
        <x:v>7</x:v>
      </x:c>
      <x:c r="E8" s="7"/>
      <x:c r="F8" s="7" t="s">
        <x:v>8</x:v>
      </x:c>
      <x:c r="G8" s="7"/>
      <x:c r="H8" s="7" t="s">
        <x:v>8</x:v>
      </x:c>
      <x:c r="I8" s="7"/>
      <x:c r="J8" s="7" t="s">
        <x:v>9</x:v>
      </x:c>
      <x:c r="K8" s="7"/>
      <x:c r="L8" s="7" t="s">
        <x:v>10</x:v>
      </x:c>
      <x:c r="M8" s="7"/>
    </x:row>
    <x:row r="28" ht="15" hidden="0">
      <x:c r="B28" s="8" t="s">
        <x:v>11</x:v>
      </x:c>
    </x:row>
    <x:row r="29" ht="19.5" hidden="0" customHeight="1">
      <x:c r="B29" s="9" t="str">
        <x:f aca="0">"1. The lowest-scoring band ("&amp;Score_Bands!A2&amp;") holds "&amp;TEXT(Score_Bands!G2,"0%")&amp;" of all defaults, with a "&amp;TEXT(Score_Bands!E2,"0.0%")&amp;" bad rate versus "&amp;TEXT(Score_Bands!E11,"0.0%")&amp;" in the highest band."</x:f>
        <x:v>1. The lowest-scoring band (411–540) holds 53% of all defaults, with a 35.0% bad rate versus 0.7% in the highest band.</x:v>
      </x:c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</x:row>
    <x:row r="30" ht="19.5" hidden="0" customHeight="1">
      <x:c r="B30" s="9" t="str">
        <x:f aca="0">"2. The bottom three bands together hold "&amp;TEXT(Score_Bands!H4,"0%")&amp;" of all defaults, so the score ranks risk well."</x:f>
        <x:v>2. The bottom three bands together hold 82% of all defaults, so the score ranks risk well.</x:v>
      </x:c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</x:row>
    <x:row r="31" ht="19.5" hidden="0" customHeight="1">
      <x:c r="B31" s="9" t="str">
        <x:f aca="0">"3. At the 30% requested rejection quantile, the observed bad rate among accepted records is "&amp;TEXT(Cutoff_Table!D8,"0.0%")&amp;", versus "&amp;TEXT(Cutoff_Table!D2,"0.0%")&amp;" in the full holdout."</x:f>
        <x:v>3. At the 30% requested rejection quantile, the observed bad rate among accepted records is 1.8%, versus 6.6% in the full holdout.</x:v>
      </x:c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</x:row>
    <x:row r="32" ht="19.5" hidden="0" customHeight="1">
      <x:c r="B32" s="9" t="str">
        <x:f aca="0">"4. Moving from 40% to 50% requested rejection reduces the observed bad rate by "&amp;TEXT((Cutoff_Table!D10-Cutoff_Table!D12)*100,"0.00")&amp;" percentage points. This does not establish a profitable cutoff."</x:f>
        <x:v>4. Moving from 40% to 50% requested rejection reduces the observed bad rate by 0.17 percentage points. This does not establish a profitable cutoff.</x:v>
      </x:c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</x:row>
    <x:row r="34" ht="15" hidden="0" customHeight="1">
      <x:c r="B34" s="27" t="str">
        <x:v>Historical snapshot: AUC/Gini/KS are copied from saved original-notebook output, not recalculated by Excel. Cutoffs were explored on holdout. Actual rejection differs with tied scores. No optimal lending policy or out-of-time validation is established.</x:v>
      </x:c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</x:row>
    <x:row r="35" ht="15" hidden="0"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</x:row>
  </x:sheetData>
  <x:mergeCells>
    <x:mergeCell ref="B2:M2"/>
    <x:mergeCell ref="B3:M3"/>
    <x:mergeCell ref="B5:C5"/>
    <x:mergeCell ref="D5:E5"/>
    <x:mergeCell ref="F5:G5"/>
    <x:mergeCell ref="H5:I5"/>
    <x:mergeCell ref="J5:K5"/>
    <x:mergeCell ref="L5:M5"/>
    <x:mergeCell ref="B6:C7"/>
    <x:mergeCell ref="D6:E7"/>
    <x:mergeCell ref="F6:G7"/>
    <x:mergeCell ref="H6:I7"/>
    <x:mergeCell ref="J6:K7"/>
    <x:mergeCell ref="L6:M7"/>
    <x:mergeCell ref="B8:C8"/>
    <x:mergeCell ref="D8:E8"/>
    <x:mergeCell ref="F8:G8"/>
    <x:mergeCell ref="H8:I8"/>
    <x:mergeCell ref="J8:K8"/>
    <x:mergeCell ref="L8:M8"/>
    <x:mergeCell ref="B29:M29"/>
    <x:mergeCell ref="B30:M30"/>
    <x:mergeCell ref="B31:M31"/>
    <x:mergeCell ref="B32:M32"/>
    <x:mergeCell ref="B34:M35"/>
  </x:mergeCells>
  <x:pageMargins left="0.7" right="0.7" top="0.75" bottom="0.75" header="0.3" footer="0.3"/>
  <x:drawing xmlns:r="http://schemas.openxmlformats.org/officeDocument/2006/relationships" r:id="Rbf0296dbd9a4454d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14" hidden="0" customWidth="1"/>
    <x:col min="2" max="2" width="30" hidden="0" customWidth="1"/>
    <x:col min="3" max="3" width="13" hidden="0" customWidth="1"/>
    <x:col min="4" max="6" width="11" hidden="0" customWidth="1"/>
    <x:col min="7" max="7" width="16" hidden="0" customWidth="1"/>
    <x:col min="8" max="8" width="20" hidden="0" customWidth="1"/>
  </x:cols>
  <x:sheetData>
    <x:row r="1" ht="31.5" hidden="0" customHeight="1">
      <x:c r="A1" s="11" t="s">
        <x:v>12</x:v>
      </x:c>
      <x:c r="B1" s="11" t="s">
        <x:v>13</x:v>
      </x:c>
      <x:c r="C1" s="11" t="s">
        <x:v>14</x:v>
      </x:c>
      <x:c r="D1" s="11" t="s">
        <x:v>15</x:v>
      </x:c>
      <x:c r="E1" s="11" t="s">
        <x:v>16</x:v>
      </x:c>
      <x:c r="F1" s="11" t="s">
        <x:v>17</x:v>
      </x:c>
      <x:c r="G1" s="11" t="s">
        <x:v>18</x:v>
      </x:c>
      <x:c r="H1" s="11" t="s">
        <x:v>19</x:v>
      </x:c>
    </x:row>
    <x:row r="2" ht="15" hidden="0">
      <x:c r="A2" s="12" t="s">
        <x:v>20</x:v>
      </x:c>
      <x:c r="B2" s="13" t="s">
        <x:v>21</x:v>
      </x:c>
      <x:c r="C2" s="14" t="n">
        <x:v>3167</x:v>
      </x:c>
      <x:c r="D2" s="14" t="n">
        <x:v>1107</x:v>
      </x:c>
      <x:c r="E2" s="15" t="n">
        <x:f aca="0">D2/C2</x:f>
        <x:v>0.3495421534575308</x:v>
      </x:c>
      <x:c r="F2" s="16" t="n">
        <x:v>508.072519074775</x:v>
      </x:c>
      <x:c r="G2" s="15" t="n">
        <x:f aca="0">D2/SUM($D$2:$D$11)</x:f>
        <x:v>0.5309352517985612</x:v>
      </x:c>
      <x:c r="H2" s="15" t="n">
        <x:f aca="0">SUM($D$2:D2)/SUM($D$2:$D$11)</x:f>
        <x:v>0.5309352517985612</x:v>
      </x:c>
    </x:row>
    <x:row r="3" ht="15" hidden="0">
      <x:c r="A3" s="12" t="s">
        <x:v>22</x:v>
      </x:c>
      <x:c r="B3" s="13" t="s">
        <x:v>23</x:v>
      </x:c>
      <x:c r="C3" s="14" t="n">
        <x:v>3128</x:v>
      </x:c>
      <x:c r="D3" s="14" t="n">
        <x:v>346</x:v>
      </x:c>
      <x:c r="E3" s="15" t="n">
        <x:f aca="0">D3/C3</x:f>
        <x:v>0.11061381074168798</x:v>
      </x:c>
      <x:c r="F3" s="16" t="n">
        <x:v>549.430614479131</x:v>
      </x:c>
      <x:c r="G3" s="15" t="n">
        <x:f aca="0">D3/SUM($D$2:$D$11)</x:f>
        <x:v>0.16594724220623502</x:v>
      </x:c>
      <x:c r="H3" s="15" t="n">
        <x:f aca="0">SUM($D$2:D3)/SUM($D$2:$D$11)</x:f>
        <x:v>0.6968824940047962</x:v>
      </x:c>
    </x:row>
    <x:row r="4" ht="15" hidden="0">
      <x:c r="A4" s="12" t="s">
        <x:v>24</x:v>
      </x:c>
      <x:c r="B4" s="13" t="s">
        <x:v>25</x:v>
      </x:c>
      <x:c r="C4" s="14" t="n">
        <x:v>3162</x:v>
      </x:c>
      <x:c r="D4" s="14" t="n">
        <x:v>247</x:v>
      </x:c>
      <x:c r="E4" s="15" t="n">
        <x:f aca="0">D4/C4</x:f>
        <x:v>0.07811511701454775</x:v>
      </x:c>
      <x:c r="F4" s="16" t="n">
        <x:v>564.895175359397</x:v>
      </x:c>
      <x:c r="G4" s="15" t="n">
        <x:f aca="0">D4/SUM($D$2:$D$11)</x:f>
        <x:v>0.11846522781774581</x:v>
      </x:c>
      <x:c r="H4" s="15" t="n">
        <x:f aca="0">SUM($D$2:D4)/SUM($D$2:$D$11)</x:f>
        <x:v>0.815347721822542</x:v>
      </x:c>
    </x:row>
    <x:row r="5" ht="15" hidden="0">
      <x:c r="A5" s="12" t="s">
        <x:v>26</x:v>
      </x:c>
      <x:c r="B5" s="13" t="s">
        <x:v>27</x:v>
      </x:c>
      <x:c r="C5" s="14" t="n">
        <x:v>3145</x:v>
      </x:c>
      <x:c r="D5" s="14" t="n">
        <x:v>143</x:v>
      </x:c>
      <x:c r="E5" s="15" t="n">
        <x:f aca="0">D5/C5</x:f>
        <x:v>0.045468998410174884</x:v>
      </x:c>
      <x:c r="F5" s="16" t="n">
        <x:v>577.09001389683</x:v>
      </x:c>
      <x:c r="G5" s="15" t="n">
        <x:f aca="0">D5/SUM($D$2:$D$11)</x:f>
        <x:v>0.06858513189448441</x:v>
      </x:c>
      <x:c r="H5" s="15" t="n">
        <x:f aca="0">SUM($D$2:D5)/SUM($D$2:$D$11)</x:f>
        <x:v>0.8839328537170263</x:v>
      </x:c>
    </x:row>
    <x:row r="6" ht="15" hidden="0">
      <x:c r="A6" s="12" t="s">
        <x:v>28</x:v>
      </x:c>
      <x:c r="B6" s="13" t="s">
        <x:v>29</x:v>
      </x:c>
      <x:c r="C6" s="14" t="n">
        <x:v>3130</x:v>
      </x:c>
      <x:c r="D6" s="14" t="n">
        <x:v>67</x:v>
      </x:c>
      <x:c r="E6" s="15" t="n">
        <x:f aca="0">D6/C6</x:f>
        <x:v>0.021405750798722045</x:v>
      </x:c>
      <x:c r="F6" s="16" t="n">
        <x:v>587.417649720389</x:v>
      </x:c>
      <x:c r="G6" s="15" t="n">
        <x:f aca="0">D6/SUM($D$2:$D$11)</x:f>
        <x:v>0.03213429256594724</x:v>
      </x:c>
      <x:c r="H6" s="15" t="n">
        <x:f aca="0">SUM($D$2:D6)/SUM($D$2:$D$11)</x:f>
        <x:v>0.9160671462829736</x:v>
      </x:c>
    </x:row>
    <x:row r="7" ht="15" hidden="0">
      <x:c r="A7" s="12" t="s">
        <x:v>30</x:v>
      </x:c>
      <x:c r="B7" s="13" t="s">
        <x:v>31</x:v>
      </x:c>
      <x:c r="C7" s="14" t="n">
        <x:v>3137</x:v>
      </x:c>
      <x:c r="D7" s="14" t="n">
        <x:v>59</x:v>
      </x:c>
      <x:c r="E7" s="15" t="n">
        <x:f aca="0">D7/C7</x:f>
        <x:v>0.01880777813197322</x:v>
      </x:c>
      <x:c r="F7" s="16" t="n">
        <x:v>595.915187841962</x:v>
      </x:c>
      <x:c r="G7" s="15" t="n">
        <x:f aca="0">D7/SUM($D$2:$D$11)</x:f>
        <x:v>0.028297362110311752</x:v>
      </x:c>
      <x:c r="H7" s="15" t="n">
        <x:f aca="0">SUM($D$2:D7)/SUM($D$2:$D$11)</x:f>
        <x:v>0.9443645083932853</x:v>
      </x:c>
    </x:row>
    <x:row r="8" ht="15" hidden="0">
      <x:c r="A8" s="12" t="s">
        <x:v>32</x:v>
      </x:c>
      <x:c r="B8" s="13" t="s">
        <x:v>33</x:v>
      </x:c>
      <x:c r="C8" s="14" t="n">
        <x:v>3164</x:v>
      </x:c>
      <x:c r="D8" s="14" t="n">
        <x:v>40</x:v>
      </x:c>
      <x:c r="E8" s="15" t="n">
        <x:f aca="0">D8/C8</x:f>
        <x:v>0.012642225031605562</x:v>
      </x:c>
      <x:c r="F8" s="16" t="n">
        <x:v>601.60252531793</x:v>
      </x:c>
      <x:c r="G8" s="15" t="n">
        <x:f aca="0">D8/SUM($D$2:$D$11)</x:f>
        <x:v>0.019184652278177457</x:v>
      </x:c>
      <x:c r="H8" s="15" t="n">
        <x:f aca="0">SUM($D$2:D8)/SUM($D$2:$D$11)</x:f>
        <x:v>0.9635491606714628</x:v>
      </x:c>
    </x:row>
    <x:row r="9" ht="15" hidden="0">
      <x:c r="A9" s="12" t="s">
        <x:v>34</x:v>
      </x:c>
      <x:c r="B9" s="13" t="s">
        <x:v>35</x:v>
      </x:c>
      <x:c r="C9" s="14" t="n">
        <x:v>3171</x:v>
      </x:c>
      <x:c r="D9" s="14" t="n">
        <x:v>30</x:v>
      </x:c>
      <x:c r="E9" s="15" t="n">
        <x:f aca="0">D9/C9</x:f>
        <x:v>0.00946073793755913</x:v>
      </x:c>
      <x:c r="F9" s="16" t="n">
        <x:v>606.825228533593</x:v>
      </x:c>
      <x:c r="G9" s="15" t="n">
        <x:f aca="0">D9/SUM($D$2:$D$11)</x:f>
        <x:v>0.014388489208633094</x:v>
      </x:c>
      <x:c r="H9" s="15" t="n">
        <x:f aca="0">SUM($D$2:D9)/SUM($D$2:$D$11)</x:f>
        <x:v>0.9779376498800959</x:v>
      </x:c>
    </x:row>
    <x:row r="10" ht="15" hidden="0">
      <x:c r="A10" s="12" t="s">
        <x:v>36</x:v>
      </x:c>
      <x:c r="B10" s="13" t="s">
        <x:v>37</x:v>
      </x:c>
      <x:c r="C10" s="14" t="n">
        <x:v>3118</x:v>
      </x:c>
      <x:c r="D10" s="14" t="n">
        <x:v>24</x:v>
      </x:c>
      <x:c r="E10" s="15" t="n">
        <x:f aca="0">D10/C10</x:f>
        <x:v>0.007697241821680564</x:v>
      </x:c>
      <x:c r="F10" s="16" t="n">
        <x:v>613.889069502595</x:v>
      </x:c>
      <x:c r="G10" s="15" t="n">
        <x:f aca="0">D10/SUM($D$2:$D$11)</x:f>
        <x:v>0.011510791366906475</x:v>
      </x:c>
      <x:c r="H10" s="15" t="n">
        <x:f aca="0">SUM($D$2:D10)/SUM($D$2:$D$11)</x:f>
        <x:v>0.9894484412470024</x:v>
      </x:c>
    </x:row>
    <x:row r="11" ht="15" hidden="0">
      <x:c r="A11" s="12" t="s">
        <x:v>38</x:v>
      </x:c>
      <x:c r="B11" s="13" t="s">
        <x:v>39</x:v>
      </x:c>
      <x:c r="C11" s="14" t="n">
        <x:v>3120</x:v>
      </x:c>
      <x:c r="D11" s="14" t="n">
        <x:v>22</x:v>
      </x:c>
      <x:c r="E11" s="15" t="n">
        <x:f aca="0">D11/C11</x:f>
        <x:v>0.007051282051282051</x:v>
      </x:c>
      <x:c r="F11" s="16" t="n">
        <x:v>621.629819113357</x:v>
      </x:c>
      <x:c r="G11" s="15" t="n">
        <x:f aca="0">D11/SUM($D$2:$D$11)</x:f>
        <x:v>0.010551558752997603</x:v>
      </x:c>
      <x:c r="H11" s="15" t="n">
        <x:f aca="0">SUM($D$2:D11)/SUM($D$2:$D$11)</x:f>
        <x:v>1</x:v>
      </x:c>
    </x:row>
    <x:row r="12" ht="15" hidden="0">
      <x:c r="A12" s="17" t="s">
        <x:v>40</x:v>
      </x:c>
      <x:c r="B12" s="18"/>
      <x:c r="C12" s="19" t="n">
        <x:f aca="0">SUM(C2:C11)</x:f>
        <x:v>31442</x:v>
      </x:c>
      <x:c r="D12" s="19" t="n">
        <x:f aca="0">SUM(D2:D11)</x:f>
        <x:v>2085</x:v>
      </x:c>
      <x:c r="E12" s="20" t="n">
        <x:f aca="0">D12/C12</x:f>
        <x:v>0.06631257553590739</x:v>
      </x:c>
      <x:c r="F12" s="21"/>
      <x:c r="G12" s="20"/>
      <x:c r="H12" s="20"/>
    </x:row>
    <x:row r="14" ht="15" hidden="0">
      <x:c r="A14" s="30" t="s">
        <x:v>41</x:v>
      </x:c>
      <x:c r="B14" s="31"/>
      <x:c r="C14" s="31"/>
      <x:c r="D14" s="31"/>
      <x:c r="E14" s="31"/>
      <x:c r="F14" s="31"/>
      <x:c r="G14" s="31"/>
      <x:c r="H14" s="31"/>
    </x:row>
    <x:row r="15">
      <x:c r="A15" s="31"/>
      <x:c r="B15" s="31"/>
      <x:c r="C15" s="31"/>
      <x:c r="D15" s="31"/>
      <x:c r="E15" s="31"/>
      <x:c r="F15" s="31"/>
      <x:c r="G15" s="31"/>
      <x:c r="H15" s="31"/>
    </x:row>
    <x:row r="16">
      <x:c r="A16" s="31"/>
      <x:c r="B16" s="31"/>
      <x:c r="C16" s="31"/>
      <x:c r="D16" s="31"/>
      <x:c r="E16" s="31"/>
      <x:c r="F16" s="31"/>
      <x:c r="G16" s="31"/>
      <x:c r="H16" s="31"/>
    </x:row>
  </x:sheetData>
  <x:mergeCells>
    <x:mergeCell ref="A14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2" hidden="0" customWidth="1"/>
    <x:col min="2" max="3" width="14" hidden="0" customWidth="1"/>
    <x:col min="4" max="4" width="20" hidden="0" customWidth="1"/>
  </x:cols>
  <x:sheetData>
    <x:row r="1" ht="31.5" hidden="0" customHeight="1">
      <x:c r="A1" s="11" t="str">
        <x:v>Requested holdout rejection quantile</x:v>
      </x:c>
      <x:c r="B1" s="11" t="s">
        <x:v>42</x:v>
      </x:c>
      <x:c r="C1" s="11" t="s">
        <x:v>43</x:v>
      </x:c>
      <x:c r="D1" s="11" t="s">
        <x:v>44</x:v>
      </x:c>
    </x:row>
    <x:row r="2" ht="15" hidden="0">
      <x:c r="A2" s="23" t="n">
        <x:v>0</x:v>
      </x:c>
      <x:c r="B2" s="24" t="n">
        <x:v>411.271487958754</x:v>
      </x:c>
      <x:c r="C2" s="25" t="n">
        <x:v>1</x:v>
      </x:c>
      <x:c r="D2" s="26" t="n">
        <x:v>0.0663125755359073</x:v>
      </x:c>
    </x:row>
    <x:row r="3" ht="15" hidden="0">
      <x:c r="A3" s="23" t="n">
        <x:v>0.05</x:v>
      </x:c>
      <x:c r="B3" s="24" t="n">
        <x:v>515.493394094971</x:v>
      </x:c>
      <x:c r="C3" s="25" t="n">
        <x:v>0.949971375866675</x:v>
      </x:c>
      <x:c r="D3" s="26" t="n">
        <x:v>0.0448960460678295</x:v>
      </x:c>
    </x:row>
    <x:row r="4" ht="15" hidden="0">
      <x:c r="A4" s="23" t="n">
        <x:v>0.1</x:v>
      </x:c>
      <x:c r="B4" s="24" t="n">
        <x:v>539.858737170456</x:v>
      </x:c>
      <x:c r="C4" s="25" t="n">
        <x:v>0.90204185484384</x:v>
      </x:c>
      <x:c r="D4" s="26" t="n">
        <x:v>0.0348353430646639</x:v>
      </x:c>
    </x:row>
    <x:row r="5" ht="15" hidden="0">
      <x:c r="A5" s="23" t="n">
        <x:v>0.15</x:v>
      </x:c>
      <x:c r="B5" s="24" t="n">
        <x:v>549.793474736249</x:v>
      </x:c>
      <x:c r="C5" s="25" t="n">
        <x:v>0.851408943451434</x:v>
      </x:c>
      <x:c r="D5" s="26" t="n">
        <x:v>0.0292491595069107</x:v>
      </x:c>
    </x:row>
    <x:row r="6" ht="15" hidden="0">
      <x:c r="A6" s="23" t="n">
        <x:v>0.2</x:v>
      </x:c>
      <x:c r="B6" s="24" t="n">
        <x:v>557.46387746667</x:v>
      </x:c>
      <x:c r="C6" s="25" t="n">
        <x:v>0.800362572355448</x:v>
      </x:c>
      <x:c r="D6" s="26" t="n">
        <x:v>0.0253129346314325</x:v>
      </x:c>
    </x:row>
    <x:row r="7" ht="15" hidden="0">
      <x:c r="A7" s="23" t="n">
        <x:v>0.25</x:v>
      </x:c>
      <x:c r="B7" s="24" t="n">
        <x:v>564.553530808718</x:v>
      </x:c>
      <x:c r="C7" s="25" t="n">
        <x:v>0.751288085999618</x:v>
      </x:c>
      <x:c r="D7" s="26" t="n">
        <x:v>0.0206587079840826</x:v>
      </x:c>
    </x:row>
    <x:row r="8" ht="15" hidden="0">
      <x:c r="A8" s="23" t="n">
        <x:v>0.3</x:v>
      </x:c>
      <x:c r="B8" s="24" t="n">
        <x:v>571.164625158012</x:v>
      </x:c>
      <x:c r="C8" s="25" t="n">
        <x:v>0.701545703199542</x:v>
      </x:c>
      <x:c r="D8" s="26" t="n">
        <x:v>0.0175899900262943</x:v>
      </x:c>
    </x:row>
    <x:row r="9" ht="15" hidden="0">
      <x:c r="A9" s="23" t="n">
        <x:v>0.35</x:v>
      </x:c>
      <x:c r="B9" s="24" t="n">
        <x:v>577.168890046717</x:v>
      </x:c>
      <x:c r="C9" s="25" t="n">
        <x:v>0.650085872399975</x:v>
      </x:c>
      <x:c r="D9" s="26" t="n">
        <x:v>0.0148727984344422</x:v>
      </x:c>
    </x:row>
    <x:row r="10" ht="15" hidden="0">
      <x:c r="A10" s="23" t="n">
        <x:v>0.4</x:v>
      </x:c>
      <x:c r="B10" s="24" t="n">
        <x:v>582.401776392307</x:v>
      </x:c>
      <x:c r="C10" s="25" t="n">
        <x:v>0.600343489599898</x:v>
      </x:c>
      <x:c r="D10" s="26" t="n">
        <x:v>0.0128205128205128</x:v>
      </x:c>
    </x:row>
    <x:row r="11" ht="15" hidden="0">
      <x:c r="A11" s="23" t="n">
        <x:v>0.45</x:v>
      </x:c>
      <x:c r="B11" s="24" t="n">
        <x:v>587.466226399621</x:v>
      </x:c>
      <x:c r="C11" s="25" t="n">
        <x:v>0.550410279244323</x:v>
      </x:c>
      <x:c r="D11" s="26" t="n">
        <x:v>0.0117300358257251</x:v>
      </x:c>
    </x:row>
    <x:row r="12" ht="15" hidden="0">
      <x:c r="A12" s="23" t="n">
        <x:v>0.5</x:v>
      </x:c>
      <x:c r="B12" s="24" t="n">
        <x:v>592.281311966507</x:v>
      </x:c>
      <x:c r="C12" s="25" t="n">
        <x:v>0.500890528592329</x:v>
      </x:c>
      <x:c r="D12" s="26" t="n">
        <x:v>0.0111118166232776</x:v>
      </x:c>
    </x:row>
    <x:row r="14" ht="15" hidden="0">
      <x:c r="A14" s="30" t="str">
        <x:v>Source: historical cutoff_table.csv; score &gt;= cutoff accepts all boundary ties. Actual rejected share = 1 - approval rate. These policies were explored on the same holdout; no economic optimum is established.</x:v>
      </x:c>
      <x:c r="B14" s="31"/>
      <x:c r="C14" s="31"/>
      <x:c r="D14" s="31"/>
    </x:row>
    <x:row r="15">
      <x:c r="A15" s="31"/>
      <x:c r="B15" s="31"/>
      <x:c r="C15" s="31"/>
      <x:c r="D15" s="31"/>
    </x:row>
    <x:row r="16">
      <x:c r="A16" s="31"/>
      <x:c r="B16" s="31"/>
      <x:c r="C16" s="31"/>
      <x:c r="D16" s="31"/>
    </x:row>
  </x:sheetData>
  <x:mergeCells>
    <x:mergeCell ref="A14:D16"/>
  </x:mergeCells>
  <x:pageMargins left="0.7" right="0.7" top="0.75" bottom="0.75" header="0.3" footer="0.3"/>
</x:worksheet>
</file>