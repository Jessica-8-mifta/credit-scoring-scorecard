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core_Bands" sheetId="2" state="visible" r:id="rId4"/>
    <sheet name="Cutoff_Table" sheetId="3" state="visible" r:id="rId5"/>
  </sheets>
  <definedNames>
    <definedName function="false" hidden="false" localSheetId="0" name="_xlnm.Print_Area" vbProcedure="false">Dashboard!$A$1:$N$36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<sst xmlns="http://schemas.openxmlformats.org/spreadsheetml/2006/main" count="51" uniqueCount="50">
  <si>
    <t xml:space="preserve">Credit Scoring Scorecard – Holdout Performance Dashboard</t>
  </si>
  <si>
    <t xml:space="preserve">WoE logistic regression scorecard on the Give Me Some Credit data  |  30% stratified holdout  |  Higher score = lower risk</t>
  </si>
  <si>
    <t xml:space="preserve">HOLDOUT APPLICANTS</t>
  </si>
  <si>
    <t xml:space="preserve">OVERALL BAD RATE</t>
  </si>
  <si>
    <t xml:space="preserve">GINI</t>
  </si>
  <si>
    <t xml:space="preserve">KS STATISTIC</t>
  </si>
  <si>
    <t xml:space="preserve">AUC – SCORECARD</t>
  </si>
  <si>
    <t xml:space="preserve">AUC – RANDOM FOREST</t>
  </si>
  <si>
    <t xml:space="preserve">Applicants scored</t>
  </si>
  <si>
    <t xml:space="preserve">Defaults / applicants</t>
  </si>
  <si>
    <t xml:space="preserve">Scorecard, holdout</t>
  </si>
  <si>
    <t xml:space="preserve">Logistic on WoE bins</t>
  </si>
  <si>
    <t xml:space="preserve">Untuned benchmark</t>
  </si>
  <si>
    <t xml:space="preserve">KEY TAKEAWAYS</t>
  </si>
  <si>
    <t xml:space="preserve">Notes: random train/test split, so this is not an out-of-time validation. The cutoff is illustrative and was evaluated on the holdout set; the right cutoff depends on the lender's margin and loss assumptions. Blue values (Gini, KS, AUC) are typed from the notebook output; black values are formulas on the data sheets.</t>
  </si>
  <si>
    <t xml:space="preserve">Band</t>
  </si>
  <si>
    <t xml:space="preserve">Interval (as exported)</t>
  </si>
  <si>
    <t xml:space="preserve">Applicants</t>
  </si>
  <si>
    <t xml:space="preserve">Defaults</t>
  </si>
  <si>
    <t xml:space="preserve">Bad rate</t>
  </si>
  <si>
    <t xml:space="preserve">Avg score</t>
  </si>
  <si>
    <t xml:space="preserve">Share of all defaults</t>
  </si>
  <si>
    <t xml:space="preserve">Cumulative share of defaults</t>
  </si>
  <si>
    <t xml:space="preserve">411–540</t>
  </si>
  <si>
    <t xml:space="preserve">(411.27000000000004, 539.859]</t>
  </si>
  <si>
    <t xml:space="preserve">540–557</t>
  </si>
  <si>
    <t xml:space="preserve">(539.859, 557.464]</t>
  </si>
  <si>
    <t xml:space="preserve">557–571</t>
  </si>
  <si>
    <t xml:space="preserve">(557.464, 571.165]</t>
  </si>
  <si>
    <t xml:space="preserve">571–582</t>
  </si>
  <si>
    <t xml:space="preserve">(571.165, 582.402]</t>
  </si>
  <si>
    <t xml:space="preserve">582–592</t>
  </si>
  <si>
    <t xml:space="preserve">(582.402, 592.281]</t>
  </si>
  <si>
    <t xml:space="preserve">592–599</t>
  </si>
  <si>
    <t xml:space="preserve">(592.281, 599.211]</t>
  </si>
  <si>
    <t xml:space="preserve">599–604</t>
  </si>
  <si>
    <t xml:space="preserve">(599.211, 604.166]</t>
  </si>
  <si>
    <t xml:space="preserve">604–610</t>
  </si>
  <si>
    <t xml:space="preserve">(604.166, 609.833]</t>
  </si>
  <si>
    <t xml:space="preserve">610–618</t>
  </si>
  <si>
    <t xml:space="preserve">(609.833, 618.081]</t>
  </si>
  <si>
    <t xml:space="preserve">618–628</t>
  </si>
  <si>
    <t xml:space="preserve">(618.081, 627.877]</t>
  </si>
  <si>
    <t xml:space="preserve">Total</t>
  </si>
  <si>
    <t xml:space="preserve">Source: score_bands.csv exported from the notebook (30% stratified holdout, Give Me Some Credit). Blue = values copied from the export; black = formulas. Band labels are the exported intervals rounded to whole points.</t>
  </si>
  <si>
    <t xml:space="preserve">Share of lowest scores rejected</t>
  </si>
  <si>
    <t xml:space="preserve">Cutoff score</t>
  </si>
  <si>
    <t xml:space="preserve">Approval rate</t>
  </si>
  <si>
    <t xml:space="preserve">Bad rate among approved</t>
  </si>
  <si>
    <t xml:space="preserve">Source: cutoff_table.csv exported from the notebook (holdout set). Reject share rounded to 2 decimals to remove floating-point noise. Blue = copied from the export.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</si>
</sst>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%"/>
    <numFmt numFmtId="167" formatCode="0.000"/>
    <numFmt numFmtId="168" formatCode="0.0%"/>
    <numFmt numFmtId="169" formatCode="0%"/>
    <numFmt numFmtId="170" formatCode="0.0"/>
    <numFmt numFmtId="171" formatCode="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595959"/>
      <name val="Arial"/>
      <family val="0"/>
      <charset val="1"/>
    </font>
    <font>
      <b val="true"/>
      <sz val="22"/>
      <color rgb="FF1F3864"/>
      <name val="Arial"/>
      <family val="0"/>
      <charset val="1"/>
    </font>
    <font>
      <b val="true"/>
      <sz val="22"/>
      <color rgb="FF0000FF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>
        <color rgb="FF2E75B6"/>
      </top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Bad rate by score band (holdout)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Score_Bands!E1</c:f>
              <c:strCache>
                <c:ptCount val="1"/>
                <c:pt idx="0">
                  <c:v>Bad rate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Score_Bands!$A$2:$A$11</c:f>
              <c:strCache>
                <c:ptCount val="10"/>
                <c:pt idx="0">
                  <c:v>411–540</c:v>
                </c:pt>
                <c:pt idx="1">
                  <c:v>540–557</c:v>
                </c:pt>
                <c:pt idx="2">
                  <c:v>557–571</c:v>
                </c:pt>
                <c:pt idx="3">
                  <c:v>571–582</c:v>
                </c:pt>
                <c:pt idx="4">
                  <c:v>582–592</c:v>
                </c:pt>
                <c:pt idx="5">
                  <c:v>592–599</c:v>
                </c:pt>
                <c:pt idx="6">
                  <c:v>599–604</c:v>
                </c:pt>
                <c:pt idx="7">
                  <c:v>604–610</c:v>
                </c:pt>
                <c:pt idx="8">
                  <c:v>610–618</c:v>
                </c:pt>
                <c:pt idx="9">
                  <c:v>618–628</c:v>
                </c:pt>
              </c:strCache>
            </c:strRef>
          </c:cat>
          <c:val>
            <c:numRef>
              <c:f>Score_Bands!$E$2:$E$11</c:f>
              <c:numCache>
                <c:formatCode>0.00%</c:formatCode>
                <c:ptCount val="10"/>
                <c:pt idx="0">
                  <c:v>0.349542153457531</c:v>
                </c:pt>
                <c:pt idx="1">
                  <c:v>0.110613810741688</c:v>
                </c:pt>
                <c:pt idx="2">
                  <c:v>0.0781151170145478</c:v>
                </c:pt>
                <c:pt idx="3">
                  <c:v>0.0454689984101749</c:v>
                </c:pt>
                <c:pt idx="4">
                  <c:v>0.021405750798722</c:v>
                </c:pt>
                <c:pt idx="5">
                  <c:v>0.0188077781319732</c:v>
                </c:pt>
                <c:pt idx="6">
                  <c:v>0.0126422250316056</c:v>
                </c:pt>
                <c:pt idx="7">
                  <c:v>0.00946073793755913</c:v>
                </c:pt>
                <c:pt idx="8">
                  <c:v>0.00769724182168056</c:v>
                </c:pt>
                <c:pt idx="9">
                  <c:v>0.00705128205128205</c:v>
                </c:pt>
              </c:numCache>
            </c:numRef>
          </c:val>
        </c:ser>
        <c:gapWidth val="50"/>
        <c:overlap val="0"/>
        <c:axId val="14682408"/>
        <c:axId val="56052107"/>
      </c:barChart>
      <c:catAx>
        <c:axId val="146824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Score band (lowest to highest)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52107"/>
        <c:crosses val="autoZero"/>
        <c:auto val="1"/>
        <c:lblAlgn val="ctr"/>
        <c:lblOffset val="100"/>
        <c:noMultiLvlLbl val="0"/>
      </c:catAx>
      <c:valAx>
        <c:axId val="5605210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Bad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824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Approval rate vs bad rate by share rejected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Cutoff_Table!C1</c:f>
              <c:strCache>
                <c:ptCount val="1"/>
                <c:pt idx="0">
                  <c:v>Approval rate</c:v>
                </c:pt>
              </c:strCache>
            </c:strRef>
          </c:tx>
          <c:spPr>
            <a:solidFill>
              <a:srgbClr val="2e75b6"/>
            </a:solidFill>
            <a:ln w="2844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Cutoff_Table!$A$2:$A$12</c:f>
              <c:strCache>
                <c:ptCount val="11"/>
                <c:pt idx="0">
                  <c:v>0%</c:v>
                </c:pt>
                <c:pt idx="1">
                  <c:v>5%</c:v>
                </c:pt>
                <c:pt idx="2">
                  <c:v>10%</c:v>
                </c:pt>
                <c:pt idx="3">
                  <c:v>15%</c:v>
                </c:pt>
                <c:pt idx="4">
                  <c:v>20%</c:v>
                </c:pt>
                <c:pt idx="5">
                  <c:v>25%</c:v>
                </c:pt>
                <c:pt idx="6">
                  <c:v>30%</c:v>
                </c:pt>
                <c:pt idx="7">
                  <c:v>35%</c:v>
                </c:pt>
                <c:pt idx="8">
                  <c:v>40%</c:v>
                </c:pt>
                <c:pt idx="9">
                  <c:v>45%</c:v>
                </c:pt>
                <c:pt idx="10">
                  <c:v>50%</c:v>
                </c:pt>
              </c:strCache>
            </c:strRef>
          </c:cat>
          <c:val>
            <c:numRef>
              <c:f>Cutoff_Table!$C$2:$C$12</c:f>
              <c:numCache>
                <c:formatCode>0.0%</c:formatCode>
                <c:ptCount val="11"/>
                <c:pt idx="0">
                  <c:v>1</c:v>
                </c:pt>
                <c:pt idx="1">
                  <c:v>0.949971375866675</c:v>
                </c:pt>
                <c:pt idx="2">
                  <c:v>0.90204185484384</c:v>
                </c:pt>
                <c:pt idx="3">
                  <c:v>0.851408943451434</c:v>
                </c:pt>
                <c:pt idx="4">
                  <c:v>0.800362572355448</c:v>
                </c:pt>
                <c:pt idx="5">
                  <c:v>0.751288085999618</c:v>
                </c:pt>
                <c:pt idx="6">
                  <c:v>0.701545703199542</c:v>
                </c:pt>
                <c:pt idx="7">
                  <c:v>0.650085872399975</c:v>
                </c:pt>
                <c:pt idx="8">
                  <c:v>0.600343489599898</c:v>
                </c:pt>
                <c:pt idx="9">
                  <c:v>0.550410279244323</c:v>
                </c:pt>
                <c:pt idx="10">
                  <c:v>0.500890528592329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512244"/>
        <c:axId val="59020070"/>
      </c:lineChart>
      <c:lineChart>
        <c:grouping val="standard"/>
        <c:varyColors val="0"/>
        <c:ser>
          <c:idx val="1"/>
          <c:order val="1"/>
          <c:tx>
            <c:strRef>
              <c:f>Cutoff_Table!D1</c:f>
              <c:strCache>
                <c:ptCount val="1"/>
                <c:pt idx="0">
                  <c:v>Bad rate among approved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diamond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Cutoff_Table!$A$2:$A$12</c:f>
              <c:strCache>
                <c:ptCount val="11"/>
                <c:pt idx="0">
                  <c:v>0%</c:v>
                </c:pt>
                <c:pt idx="1">
                  <c:v>5%</c:v>
                </c:pt>
                <c:pt idx="2">
                  <c:v>10%</c:v>
                </c:pt>
                <c:pt idx="3">
                  <c:v>15%</c:v>
                </c:pt>
                <c:pt idx="4">
                  <c:v>20%</c:v>
                </c:pt>
                <c:pt idx="5">
                  <c:v>25%</c:v>
                </c:pt>
                <c:pt idx="6">
                  <c:v>30%</c:v>
                </c:pt>
                <c:pt idx="7">
                  <c:v>35%</c:v>
                </c:pt>
                <c:pt idx="8">
                  <c:v>40%</c:v>
                </c:pt>
                <c:pt idx="9">
                  <c:v>45%</c:v>
                </c:pt>
                <c:pt idx="10">
                  <c:v>50%</c:v>
                </c:pt>
              </c:strCache>
            </c:strRef>
          </c:cat>
          <c:val>
            <c:numRef>
              <c:f>Cutoff_Table!$D$2:$D$12</c:f>
              <c:numCache>
                <c:formatCode>0.00%</c:formatCode>
                <c:ptCount val="11"/>
                <c:pt idx="0">
                  <c:v>0.0663125755359073</c:v>
                </c:pt>
                <c:pt idx="1">
                  <c:v>0.0448960460678295</c:v>
                </c:pt>
                <c:pt idx="2">
                  <c:v>0.0348353430646639</c:v>
                </c:pt>
                <c:pt idx="3">
                  <c:v>0.0292491595069107</c:v>
                </c:pt>
                <c:pt idx="4">
                  <c:v>0.0253129346314325</c:v>
                </c:pt>
                <c:pt idx="5">
                  <c:v>0.0206587079840826</c:v>
                </c:pt>
                <c:pt idx="6">
                  <c:v>0.0175899900262943</c:v>
                </c:pt>
                <c:pt idx="7">
                  <c:v>0.0148727984344422</c:v>
                </c:pt>
                <c:pt idx="8">
                  <c:v>0.0128205128205128</c:v>
                </c:pt>
                <c:pt idx="9">
                  <c:v>0.0117300358257251</c:v>
                </c:pt>
                <c:pt idx="10">
                  <c:v>0.0111118166232776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882799"/>
        <c:axId val="46819895"/>
      </c:lineChart>
      <c:catAx>
        <c:axId val="75512244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20070"/>
        <c:crosses val="autoZero"/>
        <c:auto val="1"/>
        <c:lblAlgn val="ctr"/>
        <c:lblOffset val="100"/>
        <c:noMultiLvlLbl val="0"/>
      </c:catAx>
      <c:valAx>
        <c:axId val="59020070"/>
        <c:scaling>
          <c:orientation val="minMax"/>
          <c:max val="1"/>
          <c:min val="0.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Approval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12244"/>
        <c:crosses val="autoZero"/>
        <c:crossBetween val="between"/>
      </c:valAx>
      <c:catAx>
        <c:axId val="47882799"/>
        <c:scaling>
          <c:orientation val="minMax"/>
        </c:scaling>
        <c:delete val="0"/>
        <c:axPos val="t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19895"/>
        <c:crosses val="autoZero"/>
        <c:auto val="1"/>
        <c:lblAlgn val="ctr"/>
        <c:lblOffset val="100"/>
        <c:noMultiLvlLbl val="0"/>
      </c:catAx>
      <c:valAx>
        <c:axId val="46819895"/>
        <c:scaling>
          <c:orientation val="minMax"/>
          <c:max val="0.08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Bad rate among approved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88279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6</xdr:col>
      <xdr:colOff>818280</xdr:colOff>
      <xdr:row>25</xdr:row>
      <xdr:rowOff>119520</xdr:rowOff>
    </xdr:to>
    <xdr:graphicFrame>
      <xdr:nvGraphicFramePr>
        <xdr:cNvPr id="0" name="Chart 1"/>
        <xdr:cNvGraphicFramePr/>
      </xdr:nvGraphicFramePr>
      <xdr:xfrm>
        <a:off x="141120" y="2066760"/>
        <a:ext cx="5399640" cy="31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9</xdr:row>
      <xdr:rowOff>0</xdr:rowOff>
    </xdr:from>
    <xdr:to>
      <xdr:col>12</xdr:col>
      <xdr:colOff>817920</xdr:colOff>
      <xdr:row>25</xdr:row>
      <xdr:rowOff>119520</xdr:rowOff>
    </xdr:to>
    <xdr:graphicFrame>
      <xdr:nvGraphicFramePr>
        <xdr:cNvPr id="1" name="Chart 2"/>
        <xdr:cNvGraphicFramePr/>
      </xdr:nvGraphicFramePr>
      <xdr:xfrm>
        <a:off x="5638680" y="2066760"/>
        <a:ext cx="5399640" cy="31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3"/>
    <col collapsed="false" customWidth="true" hidden="false" outlineLevel="0" max="14" min="14" style="0" width="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18" hidden="false" customHeight="true" outlineLevel="0" collapsed="false">
      <c r="B5" s="3" t="s">
        <v>2</v>
      </c>
      <c r="C5" s="3"/>
      <c r="D5" s="3" t="s">
        <v>3</v>
      </c>
      <c r="E5" s="3"/>
      <c r="F5" s="3" t="s">
        <v>4</v>
      </c>
      <c r="G5" s="3"/>
      <c r="H5" s="3" t="s">
        <v>5</v>
      </c>
      <c r="I5" s="3"/>
      <c r="J5" s="3" t="s">
        <v>6</v>
      </c>
      <c r="K5" s="3"/>
      <c r="L5" s="3" t="s">
        <v>7</v>
      </c>
      <c r="M5" s="3"/>
    </row>
    <row r="6" customFormat="false" ht="19.5" hidden="false" customHeight="true" outlineLevel="0" collapsed="false">
      <c r="B6" s="4" t="n">
        <f aca="false">Score_Bands!C12</f>
        <v>31442</v>
      </c>
      <c r="C6" s="4"/>
      <c r="D6" s="5" t="n">
        <f aca="false">Score_Bands!E12</f>
        <v>0.0663125755359074</v>
      </c>
      <c r="E6" s="5"/>
      <c r="F6" s="6" t="n">
        <v>0.707</v>
      </c>
      <c r="G6" s="6"/>
      <c r="H6" s="6" t="n">
        <v>0.557</v>
      </c>
      <c r="I6" s="6"/>
      <c r="J6" s="6" t="n">
        <v>0.853</v>
      </c>
      <c r="K6" s="6"/>
      <c r="L6" s="6" t="n">
        <v>0.866</v>
      </c>
      <c r="M6" s="6"/>
    </row>
    <row r="7" customFormat="false" ht="19.5" hidden="false" customHeight="true" outlineLevel="0" collapsed="false">
      <c r="B7" s="4"/>
      <c r="C7" s="4"/>
      <c r="D7" s="5"/>
      <c r="E7" s="5"/>
      <c r="F7" s="6"/>
      <c r="G7" s="6"/>
      <c r="H7" s="6"/>
      <c r="I7" s="6"/>
      <c r="J7" s="6"/>
      <c r="K7" s="6"/>
      <c r="L7" s="6"/>
      <c r="M7" s="6"/>
    </row>
    <row r="8" customFormat="false" ht="15.75" hidden="false" customHeight="true" outlineLevel="0" collapsed="false">
      <c r="B8" s="7" t="s">
        <v>8</v>
      </c>
      <c r="C8" s="7"/>
      <c r="D8" s="7" t="s">
        <v>9</v>
      </c>
      <c r="E8" s="7"/>
      <c r="F8" s="7" t="s">
        <v>10</v>
      </c>
      <c r="G8" s="7"/>
      <c r="H8" s="7" t="s">
        <v>10</v>
      </c>
      <c r="I8" s="7"/>
      <c r="J8" s="7" t="s">
        <v>11</v>
      </c>
      <c r="K8" s="7"/>
      <c r="L8" s="7" t="s">
        <v>12</v>
      </c>
      <c r="M8" s="7"/>
    </row>
    <row r="28" customFormat="false" ht="15" hidden="false" customHeight="false" outlineLevel="0" collapsed="false">
      <c r="B28" s="8" t="s">
        <v>13</v>
      </c>
    </row>
    <row r="29" customFormat="false" ht="19.5" hidden="false" customHeight="true" outlineLevel="0" collapsed="false">
      <c r="B29" s="9" t="str">
        <f aca="false">"1. The lowest-scoring band ("&amp;Score_Bands!A2&amp;") holds "&amp;TEXT(Score_Bands!G2,"0%")&amp;" of all defaults, with a "&amp;TEXT(Score_Bands!E2,"0.0%")&amp;" bad rate versus "&amp;TEXT(Score_Bands!E11,"0.0%")&amp;" in the highest band."</f>
        <v>1. The lowest-scoring band (411–540) holds 53% of all defaults, with a 35.0% bad rate versus 0.7% in the highest band.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customFormat="false" ht="19.5" hidden="false" customHeight="true" outlineLevel="0" collapsed="false">
      <c r="B30" s="9" t="str">
        <f aca="false">"2. The bottom three bands together hold "&amp;TEXT(Score_Bands!H4,"0%")&amp;" of all defaults, so the score ranks risk well."</f>
        <v>2. The bottom three bands together hold 82% of all defaults, so the score ranks risk well.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</row>
    <row r="31" customFormat="false" ht="19.5" hidden="false" customHeight="true" outlineLevel="0" collapsed="false">
      <c r="B31" s="9" t="str">
        <f aca="false">"3. Rejecting the lowest-scoring 30% cuts the bad rate among approved applicants from "&amp;TEXT(Cutoff_Table!D2,"0.0%")&amp;" to "&amp;TEXT(Cutoff_Table!D8,"0.0%")&amp;"."</f>
        <v>3. Rejecting the lowest-scoring 30% cuts the bad rate among approved applicants from 6.6% to 1.8%.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</row>
    <row r="32" customFormat="false" ht="19.5" hidden="false" customHeight="true" outlineLevel="0" collapsed="false">
      <c r="B32" s="9" t="str">
        <f aca="false">"4. Going from 40% to 50% rejection lowers the bad rate by only "&amp;TEXT((Cutoff_Table!D10-Cutoff_Table!D12)*100,"0.00")&amp;" percentage points while losing "&amp;TEXT(Cutoff_Table!C10-Cutoff_Table!C12,"0%")&amp;" more applicants: returns diminish after about 30%."</f>
        <v>4. Going from 40% to 50% rejection lowers the bad rate by only 0.17 percentage points while losing 10% more applicants: returns diminish after about 30%.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4" customFormat="false" ht="15" hidden="false" customHeight="true" outlineLevel="0" collapsed="false">
      <c r="B34" s="10" t="s">
        <v>14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</row>
    <row r="35" customFormat="false" ht="15" hidden="false" customHeight="false" outlineLevel="0" collapsed="false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</row>
  </sheetData>
  <mergeCells count="25">
    <mergeCell ref="B2:M2"/>
    <mergeCell ref="B3:M3"/>
    <mergeCell ref="B5:C5"/>
    <mergeCell ref="D5:E5"/>
    <mergeCell ref="F5:G5"/>
    <mergeCell ref="H5:I5"/>
    <mergeCell ref="J5:K5"/>
    <mergeCell ref="L5:M5"/>
    <mergeCell ref="B6:C7"/>
    <mergeCell ref="D6:E7"/>
    <mergeCell ref="F6:G7"/>
    <mergeCell ref="H6:I7"/>
    <mergeCell ref="J6:K7"/>
    <mergeCell ref="L6:M7"/>
    <mergeCell ref="B8:C8"/>
    <mergeCell ref="D8:E8"/>
    <mergeCell ref="F8:G8"/>
    <mergeCell ref="H8:I8"/>
    <mergeCell ref="J8:K8"/>
    <mergeCell ref="L8:M8"/>
    <mergeCell ref="B29:M29"/>
    <mergeCell ref="B30:M30"/>
    <mergeCell ref="B31:M31"/>
    <mergeCell ref="B32:M32"/>
    <mergeCell ref="B34:M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6" min="4" style="0" width="11"/>
    <col collapsed="false" customWidth="true" hidden="false" outlineLevel="0" max="7" min="7" style="0" width="16"/>
    <col collapsed="false" customWidth="true" hidden="false" outlineLevel="0" max="8" min="8" style="0" width="20"/>
  </cols>
  <sheetData>
    <row r="1" customFormat="false" ht="31.5" hidden="false" customHeight="true" outlineLevel="0" collapsed="false">
      <c r="A1" s="11" t="s">
        <v>15</v>
      </c>
      <c r="B1" s="11" t="s">
        <v>16</v>
      </c>
      <c r="C1" s="11" t="s">
        <v>17</v>
      </c>
      <c r="D1" s="11" t="s">
        <v>18</v>
      </c>
      <c r="E1" s="11" t="s">
        <v>19</v>
      </c>
      <c r="F1" s="11" t="s">
        <v>20</v>
      </c>
      <c r="G1" s="11" t="s">
        <v>21</v>
      </c>
      <c r="H1" s="11" t="s">
        <v>22</v>
      </c>
    </row>
    <row r="2" customFormat="false" ht="15" hidden="false" customHeight="false" outlineLevel="0" collapsed="false">
      <c r="A2" s="12" t="s">
        <v>23</v>
      </c>
      <c r="B2" s="13" t="s">
        <v>24</v>
      </c>
      <c r="C2" s="14" t="n">
        <v>3167</v>
      </c>
      <c r="D2" s="14" t="n">
        <v>1107</v>
      </c>
      <c r="E2" s="15" t="n">
        <f aca="false">D2/C2</f>
        <v>0.349542153457531</v>
      </c>
      <c r="F2" s="16" t="n">
        <v>508.072519074775</v>
      </c>
      <c r="G2" s="15" t="n">
        <f aca="false">D2/SUM($D$2:$D$11)</f>
        <v>0.530935251798561</v>
      </c>
      <c r="H2" s="15" t="n">
        <f aca="false">SUM($D$2:D2)/SUM($D$2:$D$11)</f>
        <v>0.530935251798561</v>
      </c>
    </row>
    <row r="3" customFormat="false" ht="15" hidden="false" customHeight="false" outlineLevel="0" collapsed="false">
      <c r="A3" s="12" t="s">
        <v>25</v>
      </c>
      <c r="B3" s="13" t="s">
        <v>26</v>
      </c>
      <c r="C3" s="14" t="n">
        <v>3128</v>
      </c>
      <c r="D3" s="14" t="n">
        <v>346</v>
      </c>
      <c r="E3" s="15" t="n">
        <f aca="false">D3/C3</f>
        <v>0.110613810741688</v>
      </c>
      <c r="F3" s="16" t="n">
        <v>549.430614479131</v>
      </c>
      <c r="G3" s="15" t="n">
        <f aca="false">D3/SUM($D$2:$D$11)</f>
        <v>0.165947242206235</v>
      </c>
      <c r="H3" s="15" t="n">
        <f aca="false">SUM($D$2:D3)/SUM($D$2:$D$11)</f>
        <v>0.696882494004796</v>
      </c>
    </row>
    <row r="4" customFormat="false" ht="15" hidden="false" customHeight="false" outlineLevel="0" collapsed="false">
      <c r="A4" s="12" t="s">
        <v>27</v>
      </c>
      <c r="B4" s="13" t="s">
        <v>28</v>
      </c>
      <c r="C4" s="14" t="n">
        <v>3162</v>
      </c>
      <c r="D4" s="14" t="n">
        <v>247</v>
      </c>
      <c r="E4" s="15" t="n">
        <f aca="false">D4/C4</f>
        <v>0.0781151170145478</v>
      </c>
      <c r="F4" s="16" t="n">
        <v>564.895175359397</v>
      </c>
      <c r="G4" s="15" t="n">
        <f aca="false">D4/SUM($D$2:$D$11)</f>
        <v>0.118465227817746</v>
      </c>
      <c r="H4" s="15" t="n">
        <f aca="false">SUM($D$2:D4)/SUM($D$2:$D$11)</f>
        <v>0.815347721822542</v>
      </c>
    </row>
    <row r="5" customFormat="false" ht="15" hidden="false" customHeight="false" outlineLevel="0" collapsed="false">
      <c r="A5" s="12" t="s">
        <v>29</v>
      </c>
      <c r="B5" s="13" t="s">
        <v>30</v>
      </c>
      <c r="C5" s="14" t="n">
        <v>3145</v>
      </c>
      <c r="D5" s="14" t="n">
        <v>143</v>
      </c>
      <c r="E5" s="15" t="n">
        <f aca="false">D5/C5</f>
        <v>0.0454689984101749</v>
      </c>
      <c r="F5" s="16" t="n">
        <v>577.09001389683</v>
      </c>
      <c r="G5" s="15" t="n">
        <f aca="false">D5/SUM($D$2:$D$11)</f>
        <v>0.0685851318944844</v>
      </c>
      <c r="H5" s="15" t="n">
        <f aca="false">SUM($D$2:D5)/SUM($D$2:$D$11)</f>
        <v>0.883932853717026</v>
      </c>
    </row>
    <row r="6" customFormat="false" ht="15" hidden="false" customHeight="false" outlineLevel="0" collapsed="false">
      <c r="A6" s="12" t="s">
        <v>31</v>
      </c>
      <c r="B6" s="13" t="s">
        <v>32</v>
      </c>
      <c r="C6" s="14" t="n">
        <v>3130</v>
      </c>
      <c r="D6" s="14" t="n">
        <v>67</v>
      </c>
      <c r="E6" s="15" t="n">
        <f aca="false">D6/C6</f>
        <v>0.021405750798722</v>
      </c>
      <c r="F6" s="16" t="n">
        <v>587.417649720389</v>
      </c>
      <c r="G6" s="15" t="n">
        <f aca="false">D6/SUM($D$2:$D$11)</f>
        <v>0.0321342925659472</v>
      </c>
      <c r="H6" s="15" t="n">
        <f aca="false">SUM($D$2:D6)/SUM($D$2:$D$11)</f>
        <v>0.916067146282974</v>
      </c>
    </row>
    <row r="7" customFormat="false" ht="15" hidden="false" customHeight="false" outlineLevel="0" collapsed="false">
      <c r="A7" s="12" t="s">
        <v>33</v>
      </c>
      <c r="B7" s="13" t="s">
        <v>34</v>
      </c>
      <c r="C7" s="14" t="n">
        <v>3137</v>
      </c>
      <c r="D7" s="14" t="n">
        <v>59</v>
      </c>
      <c r="E7" s="15" t="n">
        <f aca="false">D7/C7</f>
        <v>0.0188077781319732</v>
      </c>
      <c r="F7" s="16" t="n">
        <v>595.915187841962</v>
      </c>
      <c r="G7" s="15" t="n">
        <f aca="false">D7/SUM($D$2:$D$11)</f>
        <v>0.0282973621103118</v>
      </c>
      <c r="H7" s="15" t="n">
        <f aca="false">SUM($D$2:D7)/SUM($D$2:$D$11)</f>
        <v>0.944364508393285</v>
      </c>
    </row>
    <row r="8" customFormat="false" ht="15" hidden="false" customHeight="false" outlineLevel="0" collapsed="false">
      <c r="A8" s="12" t="s">
        <v>35</v>
      </c>
      <c r="B8" s="13" t="s">
        <v>36</v>
      </c>
      <c r="C8" s="14" t="n">
        <v>3164</v>
      </c>
      <c r="D8" s="14" t="n">
        <v>40</v>
      </c>
      <c r="E8" s="15" t="n">
        <f aca="false">D8/C8</f>
        <v>0.0126422250316056</v>
      </c>
      <c r="F8" s="16" t="n">
        <v>601.60252531793</v>
      </c>
      <c r="G8" s="15" t="n">
        <f aca="false">D8/SUM($D$2:$D$11)</f>
        <v>0.0191846522781775</v>
      </c>
      <c r="H8" s="15" t="n">
        <f aca="false">SUM($D$2:D8)/SUM($D$2:$D$11)</f>
        <v>0.963549160671463</v>
      </c>
    </row>
    <row r="9" customFormat="false" ht="15" hidden="false" customHeight="false" outlineLevel="0" collapsed="false">
      <c r="A9" s="12" t="s">
        <v>37</v>
      </c>
      <c r="B9" s="13" t="s">
        <v>38</v>
      </c>
      <c r="C9" s="14" t="n">
        <v>3171</v>
      </c>
      <c r="D9" s="14" t="n">
        <v>30</v>
      </c>
      <c r="E9" s="15" t="n">
        <f aca="false">D9/C9</f>
        <v>0.00946073793755913</v>
      </c>
      <c r="F9" s="16" t="n">
        <v>606.825228533593</v>
      </c>
      <c r="G9" s="15" t="n">
        <f aca="false">D9/SUM($D$2:$D$11)</f>
        <v>0.0143884892086331</v>
      </c>
      <c r="H9" s="15" t="n">
        <f aca="false">SUM($D$2:D9)/SUM($D$2:$D$11)</f>
        <v>0.977937649880096</v>
      </c>
    </row>
    <row r="10" customFormat="false" ht="15" hidden="false" customHeight="false" outlineLevel="0" collapsed="false">
      <c r="A10" s="12" t="s">
        <v>39</v>
      </c>
      <c r="B10" s="13" t="s">
        <v>40</v>
      </c>
      <c r="C10" s="14" t="n">
        <v>3118</v>
      </c>
      <c r="D10" s="14" t="n">
        <v>24</v>
      </c>
      <c r="E10" s="15" t="n">
        <f aca="false">D10/C10</f>
        <v>0.00769724182168056</v>
      </c>
      <c r="F10" s="16" t="n">
        <v>613.889069502595</v>
      </c>
      <c r="G10" s="15" t="n">
        <f aca="false">D10/SUM($D$2:$D$11)</f>
        <v>0.0115107913669065</v>
      </c>
      <c r="H10" s="15" t="n">
        <f aca="false">SUM($D$2:D10)/SUM($D$2:$D$11)</f>
        <v>0.989448441247002</v>
      </c>
    </row>
    <row r="11" customFormat="false" ht="15" hidden="false" customHeight="false" outlineLevel="0" collapsed="false">
      <c r="A11" s="12" t="s">
        <v>41</v>
      </c>
      <c r="B11" s="13" t="s">
        <v>42</v>
      </c>
      <c r="C11" s="14" t="n">
        <v>3120</v>
      </c>
      <c r="D11" s="14" t="n">
        <v>22</v>
      </c>
      <c r="E11" s="15" t="n">
        <f aca="false">D11/C11</f>
        <v>0.00705128205128205</v>
      </c>
      <c r="F11" s="16" t="n">
        <v>621.629819113357</v>
      </c>
      <c r="G11" s="15" t="n">
        <f aca="false">D11/SUM($D$2:$D$11)</f>
        <v>0.0105515587529976</v>
      </c>
      <c r="H11" s="15" t="n">
        <f aca="false">SUM($D$2:D11)/SUM($D$2:$D$11)</f>
        <v>1</v>
      </c>
    </row>
    <row r="12" customFormat="false" ht="15" hidden="false" customHeight="false" outlineLevel="0" collapsed="false">
      <c r="A12" s="17" t="s">
        <v>43</v>
      </c>
      <c r="B12" s="18"/>
      <c r="C12" s="19" t="n">
        <f aca="false">SUM(C2:C11)</f>
        <v>31442</v>
      </c>
      <c r="D12" s="19" t="n">
        <f aca="false">SUM(D2:D11)</f>
        <v>2085</v>
      </c>
      <c r="E12" s="20" t="n">
        <f aca="false">D12/C12</f>
        <v>0.0663125755359074</v>
      </c>
      <c r="F12" s="21"/>
      <c r="G12" s="20"/>
      <c r="H12" s="20"/>
    </row>
    <row r="14" customFormat="false" ht="15" hidden="false" customHeight="false" outlineLevel="0" collapsed="false">
      <c r="A14" s="22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20"/>
  </cols>
  <sheetData>
    <row r="1" customFormat="false" ht="31.5" hidden="false" customHeight="true" outlineLevel="0" collapsed="false">
      <c r="A1" s="11" t="s">
        <v>45</v>
      </c>
      <c r="B1" s="11" t="s">
        <v>46</v>
      </c>
      <c r="C1" s="11" t="s">
        <v>47</v>
      </c>
      <c r="D1" s="11" t="s">
        <v>48</v>
      </c>
    </row>
    <row r="2" customFormat="false" ht="15" hidden="false" customHeight="false" outlineLevel="0" collapsed="false">
      <c r="A2" s="23" t="n">
        <v>0</v>
      </c>
      <c r="B2" s="24" t="n">
        <v>411.271487958754</v>
      </c>
      <c r="C2" s="25" t="n">
        <v>1</v>
      </c>
      <c r="D2" s="26" t="n">
        <v>0.0663125755359073</v>
      </c>
    </row>
    <row r="3" customFormat="false" ht="15" hidden="false" customHeight="false" outlineLevel="0" collapsed="false">
      <c r="A3" s="23" t="n">
        <v>0.05</v>
      </c>
      <c r="B3" s="24" t="n">
        <v>515.493394094971</v>
      </c>
      <c r="C3" s="25" t="n">
        <v>0.949971375866675</v>
      </c>
      <c r="D3" s="26" t="n">
        <v>0.0448960460678295</v>
      </c>
    </row>
    <row r="4" customFormat="false" ht="15" hidden="false" customHeight="false" outlineLevel="0" collapsed="false">
      <c r="A4" s="23" t="n">
        <v>0.1</v>
      </c>
      <c r="B4" s="24" t="n">
        <v>539.858737170456</v>
      </c>
      <c r="C4" s="25" t="n">
        <v>0.90204185484384</v>
      </c>
      <c r="D4" s="26" t="n">
        <v>0.0348353430646639</v>
      </c>
    </row>
    <row r="5" customFormat="false" ht="15" hidden="false" customHeight="false" outlineLevel="0" collapsed="false">
      <c r="A5" s="23" t="n">
        <v>0.15</v>
      </c>
      <c r="B5" s="24" t="n">
        <v>549.793474736249</v>
      </c>
      <c r="C5" s="25" t="n">
        <v>0.851408943451434</v>
      </c>
      <c r="D5" s="26" t="n">
        <v>0.0292491595069107</v>
      </c>
    </row>
    <row r="6" customFormat="false" ht="15" hidden="false" customHeight="false" outlineLevel="0" collapsed="false">
      <c r="A6" s="23" t="n">
        <v>0.2</v>
      </c>
      <c r="B6" s="24" t="n">
        <v>557.46387746667</v>
      </c>
      <c r="C6" s="25" t="n">
        <v>0.800362572355448</v>
      </c>
      <c r="D6" s="26" t="n">
        <v>0.0253129346314325</v>
      </c>
    </row>
    <row r="7" customFormat="false" ht="15" hidden="false" customHeight="false" outlineLevel="0" collapsed="false">
      <c r="A7" s="23" t="n">
        <v>0.25</v>
      </c>
      <c r="B7" s="24" t="n">
        <v>564.553530808718</v>
      </c>
      <c r="C7" s="25" t="n">
        <v>0.751288085999618</v>
      </c>
      <c r="D7" s="26" t="n">
        <v>0.0206587079840826</v>
      </c>
    </row>
    <row r="8" customFormat="false" ht="15" hidden="false" customHeight="false" outlineLevel="0" collapsed="false">
      <c r="A8" s="23" t="n">
        <v>0.3</v>
      </c>
      <c r="B8" s="24" t="n">
        <v>571.164625158012</v>
      </c>
      <c r="C8" s="25" t="n">
        <v>0.701545703199542</v>
      </c>
      <c r="D8" s="26" t="n">
        <v>0.0175899900262943</v>
      </c>
    </row>
    <row r="9" customFormat="false" ht="15" hidden="false" customHeight="false" outlineLevel="0" collapsed="false">
      <c r="A9" s="23" t="n">
        <v>0.35</v>
      </c>
      <c r="B9" s="24" t="n">
        <v>577.168890046717</v>
      </c>
      <c r="C9" s="25" t="n">
        <v>0.650085872399975</v>
      </c>
      <c r="D9" s="26" t="n">
        <v>0.0148727984344422</v>
      </c>
    </row>
    <row r="10" customFormat="false" ht="15" hidden="false" customHeight="false" outlineLevel="0" collapsed="false">
      <c r="A10" s="23" t="n">
        <v>0.4</v>
      </c>
      <c r="B10" s="24" t="n">
        <v>582.401776392307</v>
      </c>
      <c r="C10" s="25" t="n">
        <v>0.600343489599898</v>
      </c>
      <c r="D10" s="26" t="n">
        <v>0.0128205128205128</v>
      </c>
    </row>
    <row r="11" customFormat="false" ht="15" hidden="false" customHeight="false" outlineLevel="0" collapsed="false">
      <c r="A11" s="23" t="n">
        <v>0.45</v>
      </c>
      <c r="B11" s="24" t="n">
        <v>587.466226399621</v>
      </c>
      <c r="C11" s="25" t="n">
        <v>0.550410279244323</v>
      </c>
      <c r="D11" s="26" t="n">
        <v>0.0117300358257251</v>
      </c>
    </row>
    <row r="12" customFormat="false" ht="15" hidden="false" customHeight="false" outlineLevel="0" collapsed="false">
      <c r="A12" s="23" t="n">
        <v>0.5</v>
      </c>
      <c r="B12" s="24" t="n">
        <v>592.281311966507</v>
      </c>
      <c r="C12" s="25" t="n">
        <v>0.500890528592329</v>
      </c>
      <c r="D12" s="26" t="n">
        <v>0.0111118166232776</v>
      </c>
    </row>
    <row r="14" customFormat="false" ht="15" hidden="false" customHeight="false" outlineLevel="0" collapsed="false">
      <c r="A14" s="22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2026-10-24T13:50:40Z</dcterms:created>
  <dc:creator>openpyxl</dc:creator>
  <dc:description/>
  <dc:language>en-US</dc:language>
  <cp:lastModifiedBy/>
  <dcterms:modified xsi:type="dcterms:W3CDTF">2026-10-24T13:50:42Z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